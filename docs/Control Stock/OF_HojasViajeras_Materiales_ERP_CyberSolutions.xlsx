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xoro\Documents\UNI\7moSemestre\Administración de proyectos\Actividad 3 y 5\"/>
    </mc:Choice>
  </mc:AlternateContent>
  <xr:revisionPtr revIDLastSave="0" documentId="13_ncr:1_{EC666978-FDE1-485C-86EA-9D1620434A7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Órdenes de fabricación" sheetId="5" r:id="rId1"/>
    <sheet name="Hoja Viajera" sheetId="2" r:id="rId2"/>
    <sheet name="consolidado_materiales" sheetId="11" r:id="rId3"/>
    <sheet name="Maestro Materiales ERP" sheetId="10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1" l="1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</calcChain>
</file>

<file path=xl/sharedStrings.xml><?xml version="1.0" encoding="utf-8"?>
<sst xmlns="http://schemas.openxmlformats.org/spreadsheetml/2006/main" count="766" uniqueCount="432">
  <si>
    <t>AMR</t>
  </si>
  <si>
    <t>Microcontrolador</t>
  </si>
  <si>
    <t>PCB</t>
  </si>
  <si>
    <t>Chihai</t>
  </si>
  <si>
    <t>Logitech C920</t>
  </si>
  <si>
    <t>Motor brushless 8NM GIM8108-48</t>
  </si>
  <si>
    <t>Servomotor</t>
  </si>
  <si>
    <t>HOJA VIAJERA DE PRODUCCIÓN</t>
  </si>
  <si>
    <t>INFORMACIÓN DE LA ORDEN DE TRABAJO</t>
  </si>
  <si>
    <t>N° Orden Trabajo:</t>
  </si>
  <si>
    <t>OT-10025</t>
  </si>
  <si>
    <t>Fecha Inicio:</t>
  </si>
  <si>
    <t>Producto/Parte:</t>
  </si>
  <si>
    <t>Fecha Entrega:</t>
  </si>
  <si>
    <t>Cantidad Requerida:</t>
  </si>
  <si>
    <t>Cliente:</t>
  </si>
  <si>
    <t>Socio Formador</t>
  </si>
  <si>
    <t>Op.</t>
  </si>
  <si>
    <t>Centro de Trabajo</t>
  </si>
  <si>
    <t>Descripción del Proceso</t>
  </si>
  <si>
    <t>Operador</t>
  </si>
  <si>
    <t>Inicio</t>
  </si>
  <si>
    <t>Fin</t>
  </si>
  <si>
    <t>Cant. Buena</t>
  </si>
  <si>
    <t>Scrap</t>
  </si>
  <si>
    <t>Firma Calidad</t>
  </si>
  <si>
    <t>Corte de PTR</t>
  </si>
  <si>
    <t>Rectificado</t>
  </si>
  <si>
    <t>Pruebas</t>
  </si>
  <si>
    <t>MÓDULO ERP: CONTROL Y GENERACIÓN DE CÓDIGOS DE MATERIALES</t>
  </si>
  <si>
    <t>CÓDIGO ERP (Autogenerado)</t>
  </si>
  <si>
    <t>Categoría</t>
  </si>
  <si>
    <t>Tipo de Material</t>
  </si>
  <si>
    <t>Número de Parte</t>
  </si>
  <si>
    <t>Descripción Completa</t>
  </si>
  <si>
    <t>Fabricante / Marca</t>
  </si>
  <si>
    <t>UOM (Unidad)</t>
  </si>
  <si>
    <t>Costo Unitario</t>
  </si>
  <si>
    <t>Stock Actual</t>
  </si>
  <si>
    <t>PZA</t>
  </si>
  <si>
    <t>INSTRUMENTACION</t>
  </si>
  <si>
    <t>Rodamiento</t>
  </si>
  <si>
    <t>MECÁNICA</t>
  </si>
  <si>
    <t>Motor</t>
  </si>
  <si>
    <t>COMPUTACIÓN</t>
  </si>
  <si>
    <t>NXP</t>
  </si>
  <si>
    <t>ID</t>
  </si>
  <si>
    <t>Driver</t>
  </si>
  <si>
    <t>Driver de motor Roboclaw 2x45ST</t>
  </si>
  <si>
    <t>CHI-000</t>
  </si>
  <si>
    <t>BRUSH-000</t>
  </si>
  <si>
    <t>MEC-MOT-CHI-000</t>
  </si>
  <si>
    <t>MEC-MOT-BRUSH-000</t>
  </si>
  <si>
    <t>Chihai motor Gear Motor CHP-42GP-775-ABHL 24V 165rmp-i49</t>
  </si>
  <si>
    <t>Filamento para impresión 3D</t>
  </si>
  <si>
    <t>PLA-000</t>
  </si>
  <si>
    <t>TPU-000</t>
  </si>
  <si>
    <t>Filamento PLA Standard Hatchbox</t>
  </si>
  <si>
    <t>MEC-FIL-PLA-000</t>
  </si>
  <si>
    <t>Filamento TPU CR Series Creality</t>
  </si>
  <si>
    <t>Rodamiento de rodillos cruzados SHF-14</t>
  </si>
  <si>
    <t>INT-DVR-RC-000</t>
  </si>
  <si>
    <t>MEC-FIL-TPU-000</t>
  </si>
  <si>
    <t>MEC-ROD-SH14-000</t>
  </si>
  <si>
    <t>SHF14-000</t>
  </si>
  <si>
    <t>Hatchbox</t>
  </si>
  <si>
    <t>Creality</t>
  </si>
  <si>
    <t>Roboclaw</t>
  </si>
  <si>
    <t>EFANT</t>
  </si>
  <si>
    <t>OF-2026-001</t>
  </si>
  <si>
    <t>Chasis estructural del AMR</t>
  </si>
  <si>
    <t>OF-2026-002</t>
  </si>
  <si>
    <t>Sistema de tracción del AMR</t>
  </si>
  <si>
    <t>OF-2026-003</t>
  </si>
  <si>
    <t>Sistema electrónico y control del AMR</t>
  </si>
  <si>
    <t>OF-2026-004</t>
  </si>
  <si>
    <t>Sistema de navegación y percepción del AMR</t>
  </si>
  <si>
    <t>OF-2026-005</t>
  </si>
  <si>
    <t>Brazo robótico</t>
  </si>
  <si>
    <t>OF-2026-006</t>
  </si>
  <si>
    <t>Sistema de detección y perfilometría</t>
  </si>
  <si>
    <t>OF-2026-007</t>
  </si>
  <si>
    <t>Séptimo eje</t>
  </si>
  <si>
    <t>OF-2026-008</t>
  </si>
  <si>
    <t>Integración final MOMA</t>
  </si>
  <si>
    <t xml:space="preserve">Fecha de emisión </t>
  </si>
  <si>
    <t xml:space="preserve">Fecha liímite </t>
  </si>
  <si>
    <t>Producto</t>
  </si>
  <si>
    <t>Cantidad a producir</t>
  </si>
  <si>
    <t xml:space="preserve">Prioridad </t>
  </si>
  <si>
    <t>ALTA</t>
  </si>
  <si>
    <t>BAJA</t>
  </si>
  <si>
    <t>MEDIA</t>
  </si>
  <si>
    <t>Almacén</t>
  </si>
  <si>
    <t>Surtido de material</t>
  </si>
  <si>
    <t>Cortadora</t>
  </si>
  <si>
    <t>Taladro</t>
  </si>
  <si>
    <t>Perforaciones</t>
  </si>
  <si>
    <t>Soldadura</t>
  </si>
  <si>
    <t>Ensamble estructural</t>
  </si>
  <si>
    <t>Acabado</t>
  </si>
  <si>
    <t>Calidad</t>
  </si>
  <si>
    <t>Inspección dimensional</t>
  </si>
  <si>
    <t>Cable calibre 12</t>
  </si>
  <si>
    <t>Ensamble</t>
  </si>
  <si>
    <t>Motores Chihai + drivers + batería + cable</t>
  </si>
  <si>
    <t>Ensamble mecánico</t>
  </si>
  <si>
    <t>Motores Chihai + ruedas</t>
  </si>
  <si>
    <t>Ejes + elementos de transmisión</t>
  </si>
  <si>
    <t>Ensamble eléctrico</t>
  </si>
  <si>
    <t>Drivers Roboclaw</t>
  </si>
  <si>
    <t>Cableado</t>
  </si>
  <si>
    <t>Pruebas eléctricas</t>
  </si>
  <si>
    <t>Sistema de tracción</t>
  </si>
  <si>
    <t>Pruebas funcionales</t>
  </si>
  <si>
    <t>PCB + componentes electrónicos</t>
  </si>
  <si>
    <t>Electrónica</t>
  </si>
  <si>
    <t>PCB + resistencias</t>
  </si>
  <si>
    <t>Optoacopladores + diodos + capacitores</t>
  </si>
  <si>
    <t>Soldadura electrónica</t>
  </si>
  <si>
    <t>PCB ensamblada</t>
  </si>
  <si>
    <t>Programación</t>
  </si>
  <si>
    <t>NXP / microcontrolador</t>
  </si>
  <si>
    <t>Pruebas electrónicas</t>
  </si>
  <si>
    <t>Integración eléctrica</t>
  </si>
  <si>
    <t>PCB + sensores + cableado</t>
  </si>
  <si>
    <t>Inspección</t>
  </si>
  <si>
    <t>Sistema electrónico</t>
  </si>
  <si>
    <t>Intel NUC + LiDAR + cámara</t>
  </si>
  <si>
    <t>Soportes + Intel NUC</t>
  </si>
  <si>
    <t>RPLiDAR</t>
  </si>
  <si>
    <t>Cable UTP</t>
  </si>
  <si>
    <t>NUC + software de navegación</t>
  </si>
  <si>
    <t>Calibración</t>
  </si>
  <si>
    <t>LiDAR + cámara</t>
  </si>
  <si>
    <t>Sistema de navegación</t>
  </si>
  <si>
    <t>Aluminio + acero + PLA-CF</t>
  </si>
  <si>
    <t>Corte</t>
  </si>
  <si>
    <t>Solera de aluminio</t>
  </si>
  <si>
    <t>Maquinado</t>
  </si>
  <si>
    <t>Componentes estructurales</t>
  </si>
  <si>
    <t>Impresión 3D</t>
  </si>
  <si>
    <t>PLA-CF</t>
  </si>
  <si>
    <t>Estructura + piezas impresas</t>
  </si>
  <si>
    <t>Rodamientos + tornillería</t>
  </si>
  <si>
    <t>Motores brushless</t>
  </si>
  <si>
    <t>Cableado del brazo</t>
  </si>
  <si>
    <t>Control del brazo</t>
  </si>
  <si>
    <t>Movimiento de articulaciones</t>
  </si>
  <si>
    <t>Perfilómetro</t>
  </si>
  <si>
    <t>Perfilómetro + soporte</t>
  </si>
  <si>
    <t>Integración</t>
  </si>
  <si>
    <t>Perfilómetro + computadora</t>
  </si>
  <si>
    <t>Software de adquisición</t>
  </si>
  <si>
    <t>Procesamiento</t>
  </si>
  <si>
    <t>Datos de perfil</t>
  </si>
  <si>
    <t>Visión</t>
  </si>
  <si>
    <t>Obtención de pose</t>
  </si>
  <si>
    <t>Validación</t>
  </si>
  <si>
    <t>Sistema de detección</t>
  </si>
  <si>
    <t>Componentes del séptimo eje</t>
  </si>
  <si>
    <t>Perfil/estructura</t>
  </si>
  <si>
    <t>Soportes</t>
  </si>
  <si>
    <t>Estructura + guía</t>
  </si>
  <si>
    <t>Actuador + motor</t>
  </si>
  <si>
    <t>Motor + sensores</t>
  </si>
  <si>
    <t>Control del eje</t>
  </si>
  <si>
    <t>Movimiento lineal</t>
  </si>
  <si>
    <t>AMR-001</t>
  </si>
  <si>
    <t>BRAZO-001</t>
  </si>
  <si>
    <t>AMR + brazo</t>
  </si>
  <si>
    <t>Sistema de perfilometría</t>
  </si>
  <si>
    <t>Cableado general</t>
  </si>
  <si>
    <t>Integración de comunicaciones</t>
  </si>
  <si>
    <t>AMR + visión + brazo + CNC</t>
  </si>
  <si>
    <t>Cámara</t>
  </si>
  <si>
    <t>Brazo</t>
  </si>
  <si>
    <t>Integración CNC</t>
  </si>
  <si>
    <t>MOMA + CNC</t>
  </si>
  <si>
    <t>Detección de pieza</t>
  </si>
  <si>
    <t>Cálculo de pose</t>
  </si>
  <si>
    <t>Pick &amp; place</t>
  </si>
  <si>
    <t>Carga de pieza en CNC</t>
  </si>
  <si>
    <t>Prueba final</t>
  </si>
  <si>
    <t>Ciclo automático completo</t>
  </si>
  <si>
    <t>Inspección final</t>
  </si>
  <si>
    <t>ELECTRÓNICA</t>
  </si>
  <si>
    <t>LiPo Tester</t>
  </si>
  <si>
    <t>Encoder</t>
  </si>
  <si>
    <t>SOCOKIN</t>
  </si>
  <si>
    <t>Probador de voltaje de batería LiPo</t>
  </si>
  <si>
    <t xml:space="preserve">Batería de 24V 6000mAh </t>
  </si>
  <si>
    <t>SOCO-000</t>
  </si>
  <si>
    <t>TEST-000</t>
  </si>
  <si>
    <t>ENCO-000</t>
  </si>
  <si>
    <t>ELE-BAT-SOCO-000</t>
  </si>
  <si>
    <t>ELE-BAT-TEST-000</t>
  </si>
  <si>
    <t>ELE-ENC-ENCO-000</t>
  </si>
  <si>
    <t>Vbestlife</t>
  </si>
  <si>
    <t>OMRON</t>
  </si>
  <si>
    <t>LiDAR</t>
  </si>
  <si>
    <t>LiD-000</t>
  </si>
  <si>
    <t>Encoder de doble cuadratura</t>
  </si>
  <si>
    <t>ELE-LiD-LiD-000</t>
  </si>
  <si>
    <t>Órdenes de fabricación</t>
  </si>
  <si>
    <t>HEAT-000</t>
  </si>
  <si>
    <t>Tubo termorretráctil 45mm - 1m</t>
  </si>
  <si>
    <t>Shenzhen Tianshen Technology</t>
  </si>
  <si>
    <t>Poleas</t>
  </si>
  <si>
    <t>POL-518</t>
  </si>
  <si>
    <t>Poleas HDT5M 18 dientes</t>
  </si>
  <si>
    <t>BAL-604</t>
  </si>
  <si>
    <t>Tornillo allen</t>
  </si>
  <si>
    <t>Tornillo allen cilíndrico inoxidable M4*60</t>
  </si>
  <si>
    <t>Rodamiento radial rígido de bolas 604 (12mm*4mm*4mm)</t>
  </si>
  <si>
    <t>Tornillo allen cilíndrico inoxidable M4*80</t>
  </si>
  <si>
    <t>Banda de transmisión</t>
  </si>
  <si>
    <t>BAN-475</t>
  </si>
  <si>
    <t>BAN-410</t>
  </si>
  <si>
    <t>BAN-405</t>
  </si>
  <si>
    <t>BAN-102</t>
  </si>
  <si>
    <t>Banda HTD 475-5M</t>
  </si>
  <si>
    <t>Banda HTD 405-5M</t>
  </si>
  <si>
    <t>Banda HTD 410-5M</t>
  </si>
  <si>
    <t>Banda 102 XL</t>
  </si>
  <si>
    <t>RC-000</t>
  </si>
  <si>
    <t>MEC-POL-POL-518</t>
  </si>
  <si>
    <t>MEC-ROD-BAL-604</t>
  </si>
  <si>
    <t>Bateria</t>
  </si>
  <si>
    <t>Tubo termorretráctil</t>
  </si>
  <si>
    <t>MEC-TER-HEAT-000</t>
  </si>
  <si>
    <t>TOR-460</t>
  </si>
  <si>
    <t>TOR-480</t>
  </si>
  <si>
    <t>MEC-TOR-TOR-460</t>
  </si>
  <si>
    <t>MEC-TOR-TOR-480</t>
  </si>
  <si>
    <t>MEC-BAN-BAN-475</t>
  </si>
  <si>
    <t>MEC-BAN-BAN-410</t>
  </si>
  <si>
    <t>MEC-BAN-BAN-405</t>
  </si>
  <si>
    <t>MEC-BAN-BAN-102</t>
  </si>
  <si>
    <t>Eje</t>
  </si>
  <si>
    <t>Microcontrolador NXP S32K312MINI-EVB</t>
  </si>
  <si>
    <t>Microcontrolador NXP FRDM-A-S32K344</t>
  </si>
  <si>
    <t>EJE-105</t>
  </si>
  <si>
    <t>Eje acero inoxidable 10mm de diametro 50cm largo</t>
  </si>
  <si>
    <t>NXP-344</t>
  </si>
  <si>
    <t>NXP-312</t>
  </si>
  <si>
    <t>COM-MICRO-NXP-312</t>
  </si>
  <si>
    <t>Convertidor</t>
  </si>
  <si>
    <t>CON-485</t>
  </si>
  <si>
    <t>Convertidor USB a RS485</t>
  </si>
  <si>
    <t>MEC-EJE-EJE-105</t>
  </si>
  <si>
    <t>COM-MICRO-NXP-344</t>
  </si>
  <si>
    <t>ELE-CON-CON-485</t>
  </si>
  <si>
    <t>CONSOLIDADO MASTER DE MATERIALES Y COMPONENTES</t>
  </si>
  <si>
    <t>Proyecto</t>
  </si>
  <si>
    <t>Componente / Descripción</t>
  </si>
  <si>
    <t>Proveedor</t>
  </si>
  <si>
    <t>Modelo / Código</t>
  </si>
  <si>
    <t>Cantidad</t>
  </si>
  <si>
    <t>Unidad</t>
  </si>
  <si>
    <t>Subtotal Lineal ($)</t>
  </si>
  <si>
    <t>Tiempo Entrega</t>
  </si>
  <si>
    <t>País Origen</t>
  </si>
  <si>
    <t>Contacto</t>
  </si>
  <si>
    <t>Ficha Técnica</t>
  </si>
  <si>
    <t>Fecha Cotización</t>
  </si>
  <si>
    <t>Riesgo Suministro</t>
  </si>
  <si>
    <t>Estatus OC</t>
  </si>
  <si>
    <t>PTR 1/2''x1/2'' calibre 16</t>
  </si>
  <si>
    <t>MARSA ACEROS</t>
  </si>
  <si>
    <t>Acero al carbón</t>
  </si>
  <si>
    <t>metros</t>
  </si>
  <si>
    <t>Inmediato</t>
  </si>
  <si>
    <t>México</t>
  </si>
  <si>
    <t>3318941761</t>
  </si>
  <si>
    <t>https://neufert-cdn.archdaily.net/uploads/product_file/file/2979/Informaci_n_t_cnica_Tuber_a_y_Perfiles.pdf</t>
  </si>
  <si>
    <t>8/20/2026</t>
  </si>
  <si>
    <t>Bajo</t>
  </si>
  <si>
    <t>Generado</t>
  </si>
  <si>
    <t>AMR2</t>
  </si>
  <si>
    <t>Filamento para impresión</t>
  </si>
  <si>
    <t>Amazon</t>
  </si>
  <si>
    <t>Filamento Creality PLA-CF</t>
  </si>
  <si>
    <t>kg</t>
  </si>
  <si>
    <t>2-5 días</t>
  </si>
  <si>
    <t>https://www.amazon.com.mx/Creality-Filamento-Velocidad-Precisi%C3%B3n-Dimensional/dp/B0CW2HNX9Z/ref=asc_df_B0CW2HNX9Z?mcid=7270e3ac5d6c382c973c093f6d01f4c1&amp;tag=gledskshopmx-20&amp;linkCode=df0&amp;hvadid=709846585842&amp;hvpos=&amp;hvnetw=g&amp;hvrand=5090988279418419497&amp;hvpone=&amp;hvptwo=&amp;hvqmt=&amp;hvdev=c&amp;hvdvcmdl=&amp;hvlocint=&amp;hvlocphy=9135228&amp;hvtargid=pla-2425754051991&amp;hvocijid=5090988279418419497-B0CW2HNX9Z-&amp;hvexpln=0&amp;language=es_MX&amp;th=1</t>
  </si>
  <si>
    <t>https://store.creality.com/es/products/hyper-pla-cf</t>
  </si>
  <si>
    <t>Medio</t>
  </si>
  <si>
    <t>AMR3</t>
  </si>
  <si>
    <t xml:space="preserve">Motor </t>
  </si>
  <si>
    <t>Aliexpress</t>
  </si>
  <si>
    <t>Pza</t>
  </si>
  <si>
    <t>1-4 semanas</t>
  </si>
  <si>
    <t>China</t>
  </si>
  <si>
    <t>86-14775544575</t>
  </si>
  <si>
    <t>https://es.aliexpress.com/item/32822227433.html?src=google&amp;src=google&amp;albch=shopping&amp;acnt=742-864-1166&amp;isdl=y&amp;slnk=&amp;plac=&amp;mtctp=&amp;albbt=Google_7_shopping&amp;aff_platform=google&amp;aff_short_key=UneMJZVf&amp;gclsrc=aw.ds&amp;albagn=888888&amp;ds_e_adid=&amp;ds_e_matchtype=&amp;ds_e_device=c&amp;ds_e_network=x&amp;ds_e_product_group_id=&amp;ds_e_product_id=es32822227433&amp;ds_e_product_merchant_id=106284498&amp;ds_e_product_country=MX&amp;ds_e_product_language=es&amp;ds_e_product_channel=online&amp;ds_e_product_store_id=&amp;ds_url_v=2&amp;albcp=21989024792&amp;albag=&amp;isSmbAutoCall=false&amp;needSmbHouyi=false&amp;gad_source=1&amp;gad_campaignid=21992960584&amp;gbraid=0AAAAA99aYpekaq6Xwsyw5IOR2i4WFnqJu&amp;gclid=Cj0KCQjw7eXTBhDBARIsAKF-w44cDTJcwSOQyjJs5eFc_WKQfW5BCsa-Duszc2aTK1phhz8Lbdw_irgaAr6HEALw_wcB</t>
  </si>
  <si>
    <t>AMR4</t>
  </si>
  <si>
    <t>NXP S32K344</t>
  </si>
  <si>
    <t>1 - 2 días</t>
  </si>
  <si>
    <t xml:space="preserve">México </t>
  </si>
  <si>
    <t>https://support.nxp.com/s/?language=en_US</t>
  </si>
  <si>
    <t>S32K3xx Data Sheet</t>
  </si>
  <si>
    <t>AMR5</t>
  </si>
  <si>
    <t>JLCPCB</t>
  </si>
  <si>
    <t>NA</t>
  </si>
  <si>
    <t>1 semana</t>
  </si>
  <si>
    <t>hk@jlcpcb.com</t>
  </si>
  <si>
    <t>¿Qué es una PCB o Placa de Circuito Impreso? | Altium</t>
  </si>
  <si>
    <t>AMR6</t>
  </si>
  <si>
    <t>Computadora</t>
  </si>
  <si>
    <t>Intel</t>
  </si>
  <si>
    <t>Nuc 13 Pro</t>
  </si>
  <si>
    <t>3 días</t>
  </si>
  <si>
    <t>33 2265 3660</t>
  </si>
  <si>
    <t>https://gzhls.at/blob/ldb/3/0/e/6/3258a588b77a736bbb371eaa7d358c35de33.pdf</t>
  </si>
  <si>
    <t>AMR7</t>
  </si>
  <si>
    <t>Lidar</t>
  </si>
  <si>
    <t>ZICZNT</t>
  </si>
  <si>
    <t>Rplidar A1M8</t>
  </si>
  <si>
    <t>2 semanas</t>
  </si>
  <si>
    <t>support@siminics.com</t>
  </si>
  <si>
    <t>https://www.slamtec.com/en/lidar/a1?gad_source=1&amp;gad_campaignid=22714698620&amp;gbraid=0AAAAA_rvLk1GFNhzEN91uwncUxmMTGPgP&amp;gclid=CjwKCAjwy5rUBhB5EiwAIoAtCuFFiCLyzqfg03964M5Fl_3vL7vGNnrAnaZGqjEM114ZdIXQrFMQHBoCG2IQAvD_BwE</t>
  </si>
  <si>
    <t>AMR8</t>
  </si>
  <si>
    <t>Web cam</t>
  </si>
  <si>
    <t>https://www.amazon.com.mx/Logitech-Webcam-Resoluci%C3%B3n-FullHD-1080p/dp/B006JH8T3S/ref=asc_df_B006JH8T3S?mcid=40a40b9a200839f89fe30624ccac09ca&amp;tag=gledskshopmx-20&amp;linkCode=df0&amp;hvadid=709968296105&amp;hvpos=&amp;hvnetw=g&amp;hvrand=5838201541394842404&amp;hvpone=&amp;hvptwo=&amp;hvqmt=&amp;hvdev=c&amp;hvdvcmdl=&amp;hvlocint=&amp;hvlocphy=1010079&amp;hvtargid=pla-365069354613&amp;hvocijid=5838201541394842404-B006JH8T3S-&amp;hvexpln=0&amp;language=es_MX&amp;th=1</t>
  </si>
  <si>
    <t>https://www.logitech.com/es-mx/shop/p/c920-pro-hd-webcam</t>
  </si>
  <si>
    <t>AMR9</t>
  </si>
  <si>
    <t>Drivers</t>
  </si>
  <si>
    <t>SanDoRobotics</t>
  </si>
  <si>
    <t>Roboclaw 2x45</t>
  </si>
  <si>
    <t>3-7 días</t>
  </si>
  <si>
    <t>5557683208</t>
  </si>
  <si>
    <t>https://core-electronics.com.au/attachments/localcontent/roboclaw_datasheet_ST_2x45A_43321507500.pdf</t>
  </si>
  <si>
    <t>AMR10</t>
  </si>
  <si>
    <t>Resistencia</t>
  </si>
  <si>
    <t>Mexbit</t>
  </si>
  <si>
    <t>10 k omh</t>
  </si>
  <si>
    <t>inmediato</t>
  </si>
  <si>
    <t>33 34495988</t>
  </si>
  <si>
    <t>RESISTOR Datasheet(PDF) - DMR16 - Dubilier</t>
  </si>
  <si>
    <t>AMR11</t>
  </si>
  <si>
    <t>Optoacoplador</t>
  </si>
  <si>
    <t>4n25</t>
  </si>
  <si>
    <t>4n25.pdf</t>
  </si>
  <si>
    <t>AMR12</t>
  </si>
  <si>
    <t>Diodo</t>
  </si>
  <si>
    <t>1n4007</t>
  </si>
  <si>
    <t>1N4007 Datasheet(PDF) - Diodes Incorporated</t>
  </si>
  <si>
    <t>AMR13</t>
  </si>
  <si>
    <t>Capacitor</t>
  </si>
  <si>
    <t>10 mF</t>
  </si>
  <si>
    <t>10 mF Aluminum Electrolytic Capacitors | Capacitors | DigiKey</t>
  </si>
  <si>
    <t>AMR14</t>
  </si>
  <si>
    <t>Cables UTP</t>
  </si>
  <si>
    <t>UTP</t>
  </si>
  <si>
    <t>m</t>
  </si>
  <si>
    <t>https://assets.tripplite.com/product-pdfs/es/n002006bl.pdf</t>
  </si>
  <si>
    <t>AMR142</t>
  </si>
  <si>
    <t>Cable Calibre 12</t>
  </si>
  <si>
    <t>Calibre 12</t>
  </si>
  <si>
    <t>AMR15</t>
  </si>
  <si>
    <t>24V LiPo</t>
  </si>
  <si>
    <t>2-4 semanas</t>
  </si>
  <si>
    <t>1103456202</t>
  </si>
  <si>
    <t>24V 30Ah 6s3p 18650 batería de litio 24V 30000mAh batería de iones de litio + cargador - AliExpress 44</t>
  </si>
  <si>
    <t>AMR16</t>
  </si>
  <si>
    <t xml:space="preserve">Sensor Infrarrojo difuso </t>
  </si>
  <si>
    <t>E18-B03N1</t>
  </si>
  <si>
    <t>https://www.amazon.com.mx/Sensor-fotoel%C3%A9ctrico-interruptor-E18-B03P1-Interruptor/dp/B07SW6JF6S/ref=asc_df_B07SW6JF6S?mcid=be51d55fc27b31debcbb62f70c169619&amp;tag=gledskshopmx-20&amp;linkCode=df0&amp;hvadid=709846585818&amp;hvpos=&amp;hvnetw=g&amp;hvrand=7632817013959038466&amp;hvpone=&amp;hvptwo=&amp;hvqmt=&amp;hvdev=c&amp;hvdvcmdl=&amp;hvlocint=&amp;hvlocphy=9138282&amp;hvtargid=pla-1884634689493&amp;psc=1&amp;hvocijid=7632817013959038466-B07SW6JF6S-&amp;hvexpln=0&amp;language=es_MX</t>
  </si>
  <si>
    <t>E18-B03N1 Infrared Proximity Photoelectric Switch | RAM Electronics</t>
  </si>
  <si>
    <t xml:space="preserve">Medio </t>
  </si>
  <si>
    <t xml:space="preserve">Brazo robotico </t>
  </si>
  <si>
    <t>Brazo Robótico</t>
  </si>
  <si>
    <t>Elf te Motor-Steadywin Official Store</t>
  </si>
  <si>
    <t>GIM8108-8</t>
  </si>
  <si>
    <t>1 - 4 semanas</t>
  </si>
  <si>
    <t>+86 13077918423</t>
  </si>
  <si>
    <t>https://ae-pic-a1.aliexpress-media.com/kf/Sb67d8ccea6ae4649b51a2712f7c8611eg.pdf?spm=a2g0o.detail.0.0.1322KVvjKVvj1W&amp;file=Sb67d8ccea6ae4649b51a2712f7c8611eg.pdf</t>
  </si>
  <si>
    <t>Brazo robotico 2</t>
  </si>
  <si>
    <t>Motor brushless 3NM</t>
  </si>
  <si>
    <t>GB3506</t>
  </si>
  <si>
    <t>2 - 4 semanas</t>
  </si>
  <si>
    <t>https://steadywin-motor.com/cdn/shop/files/3506_2000x.jpg?v=1750326533</t>
  </si>
  <si>
    <t>Brazo robotico 3</t>
  </si>
  <si>
    <t>Brazo robotico 4</t>
  </si>
  <si>
    <t>Steren</t>
  </si>
  <si>
    <t>MOT-135</t>
  </si>
  <si>
    <t>55 1516 6000</t>
  </si>
  <si>
    <t>https://www.steren.com.mx/servomotor-con-torque-de-10-kgf-cm.html?srsltid=AfmBOoodynb07wiyG5HLrRWoRo3xQeaF0t86a-UxOLlcGjYSLgfvN-Wv</t>
  </si>
  <si>
    <t>Brazo robotico 5</t>
  </si>
  <si>
    <t>Brazo robotico 6</t>
  </si>
  <si>
    <t>34 34495988</t>
  </si>
  <si>
    <t>Brazo robotico 7</t>
  </si>
  <si>
    <t>Lamina de acero</t>
  </si>
  <si>
    <t>Calibre 16</t>
  </si>
  <si>
    <t>https://acerosmarsal.com.mx/lamina-rc/</t>
  </si>
  <si>
    <t>Brazo robotico 8</t>
  </si>
  <si>
    <t>Solera de alumino</t>
  </si>
  <si>
    <t>Mar China</t>
  </si>
  <si>
    <t>Aluminio 6061</t>
  </si>
  <si>
    <t>''x14''x1/4''</t>
  </si>
  <si>
    <t>33 3620 8756</t>
  </si>
  <si>
    <t>SOLERA 1/4 x 6 plg ALUMINIO 17592 | METALES MarChina - ¡Todo en Aluminio, Metales NO Ferrosos y Plásticos!</t>
  </si>
  <si>
    <t>Brazo robotico 9</t>
  </si>
  <si>
    <t>tornillos</t>
  </si>
  <si>
    <t>Lizar</t>
  </si>
  <si>
    <t>Allen</t>
  </si>
  <si>
    <t>33 3124 5228 </t>
  </si>
  <si>
    <t>https://es.scribd.com/document/1065520561/Ficha-Tecnica-Torn-Allen-Cilindrico-Metrico</t>
  </si>
  <si>
    <t>Brazo robotico 10</t>
  </si>
  <si>
    <t>Rodamiento de rodillos cruzados</t>
  </si>
  <si>
    <t>SHF-14</t>
  </si>
  <si>
    <t>3-10 días</t>
  </si>
  <si>
    <t>Estados Unidos</t>
  </si>
  <si>
    <t>https://www.amazon.com.mx/Rodamiento-rodillos-cruzados-SHF-14-SHF-17/dp/B0HCNCN74D/ref=sr_1_13?dib=eyJ2IjoiMSJ9.HG-IB0-rHKeN-jeEy1c-7jYM8t1ieseLNhhoS71Y3TdpCNKGw71VxXPhN-H_shkrZ2RUDOyrSarwz50Qi66munB7MJLgxK835VRa447h7Wc0kDUsYX9X4tdR85FiQdh-PcBkNAWFhCuQWE6ghmDtCaSELgGrhU3zDoYXuUxwMATEIvqmvR-o_vEggaXn8t9nmDpF5O4YQzhMtDV61G2-smLfu8ma7u-PqRcswmfVpdrP8E15NsZjLRiiPzOXzGIY9NteXMfvwR5d9QB9u6gy8m4b3qYNTMOkSVQQguvsudY.zislI9_XlbW8GwcjgfLHqYzQO4ognlFL_R4eoPeeWTg&amp;dib_tag=se&amp;keywords=balero%2Bde%2Brodillos%2Bcruzados&amp;qid=1787243163&amp;sr=8-13&amp;ufe=app_do%3Aamzn1.fos.de93fa6a-174c-4df7-be7c-5bc8e9c5a71b&amp;th=1</t>
  </si>
  <si>
    <t>https://lkpbearing.com/shf14-shg14-harmonic-reducer-bearings/</t>
  </si>
  <si>
    <t>TOTAL CONSOLIDADO</t>
  </si>
  <si>
    <t>Yunshuo</t>
  </si>
  <si>
    <t>RUIYONG HARDWARE</t>
  </si>
  <si>
    <t>JING DOU Hardware</t>
  </si>
  <si>
    <t>Walfront</t>
  </si>
  <si>
    <t>Genérico</t>
  </si>
  <si>
    <t>Filamento Fibra de Carbono 1.75mm 1KG Púrpura</t>
  </si>
  <si>
    <t>FFC-000</t>
  </si>
  <si>
    <t>MEC-FIL-FFC-000</t>
  </si>
  <si>
    <t>Rodamiento radial rígido de bolas 6900-2RS (22mm*10mm*6mm)</t>
  </si>
  <si>
    <t>BAL-690</t>
  </si>
  <si>
    <t>MEC-ROD-BAL-690</t>
  </si>
  <si>
    <t>GMG</t>
  </si>
  <si>
    <t>FULO</t>
  </si>
  <si>
    <t>Uxcell</t>
  </si>
  <si>
    <t>P&amp;W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</si>
</sst>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b/>
      <sz val="12"/>
      <color rgb="FFFFFFFF"/>
      <name val="Calibri"/>
      <family val="2"/>
    </font>
    <font>
      <b/>
      <sz val="16"/>
      <color rgb="FF00529B"/>
      <name val="Calibri"/>
      <family val="2"/>
    </font>
    <font>
      <sz val="11"/>
      <color theme="0"/>
      <name val="Calibri"/>
      <family val="2"/>
      <scheme val="minor"/>
    </font>
    <font>
      <b/>
      <sz val="16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F0FA"/>
        <bgColor rgb="FFE6F0FA"/>
      </patternFill>
    </fill>
    <fill>
      <patternFill patternType="solid">
        <fgColor rgb="FF00529B"/>
        <bgColor rgb="FF00529B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1F4E78"/>
      </patternFill>
    </fill>
    <fill>
      <patternFill patternType="solid">
        <fgColor rgb="FF00529B"/>
        <bgColor indexed="64"/>
      </patternFill>
    </fill>
    <fill>
      <patternFill patternType="solid">
        <fgColor rgb="FF00529B"/>
        <bgColor rgb="FF1F4E78"/>
      </patternFill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2" borderId="0" xfId="0" applyFill="1"/>
    <xf numFmtId="0" fontId="3" fillId="7" borderId="3" xfId="0" applyFont="1" applyFill="1" applyBorder="1" applyAlignment="1">
      <alignment horizontal="center" vertical="center"/>
    </xf>
    <xf numFmtId="0" fontId="0" fillId="5" borderId="7" xfId="0" applyFill="1" applyBorder="1"/>
    <xf numFmtId="0" fontId="0" fillId="2" borderId="2" xfId="0" applyFill="1" applyBorder="1" applyAlignment="1">
      <alignment horizontal="right" vertical="center" wrapText="1"/>
    </xf>
    <xf numFmtId="0" fontId="0" fillId="2" borderId="2" xfId="0" applyFill="1" applyBorder="1" applyAlignment="1">
      <alignment vertical="center" wrapText="1"/>
    </xf>
    <xf numFmtId="0" fontId="0" fillId="6" borderId="2" xfId="0" applyFill="1" applyBorder="1"/>
    <xf numFmtId="0" fontId="0" fillId="6" borderId="8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 applyAlignment="1">
      <alignment horizontal="right" vertical="center" wrapText="1"/>
    </xf>
    <xf numFmtId="0" fontId="0" fillId="2" borderId="10" xfId="0" applyFill="1" applyBorder="1" applyAlignment="1">
      <alignment vertical="center" wrapText="1"/>
    </xf>
    <xf numFmtId="0" fontId="0" fillId="2" borderId="10" xfId="0" applyFill="1" applyBorder="1"/>
    <xf numFmtId="0" fontId="0" fillId="2" borderId="11" xfId="0" applyFill="1" applyBorder="1"/>
    <xf numFmtId="0" fontId="7" fillId="8" borderId="4" xfId="0" applyFont="1" applyFill="1" applyBorder="1"/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0" fillId="8" borderId="0" xfId="0" applyFill="1"/>
    <xf numFmtId="0" fontId="7" fillId="8" borderId="0" xfId="0" applyFont="1" applyFill="1"/>
    <xf numFmtId="0" fontId="3" fillId="7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2" xfId="0" applyBorder="1"/>
    <xf numFmtId="0" fontId="3" fillId="10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64" fontId="0" fillId="0" borderId="13" xfId="0" applyNumberFormat="1" applyBorder="1" applyAlignment="1">
      <alignment horizontal="right" vertical="center"/>
    </xf>
    <xf numFmtId="0" fontId="0" fillId="11" borderId="13" xfId="0" applyFill="1" applyBorder="1" applyAlignment="1">
      <alignment horizontal="center" vertical="center"/>
    </xf>
    <xf numFmtId="0" fontId="0" fillId="11" borderId="13" xfId="0" applyFill="1" applyBorder="1" applyAlignment="1">
      <alignment horizontal="left" vertical="center"/>
    </xf>
    <xf numFmtId="164" fontId="0" fillId="11" borderId="13" xfId="0" applyNumberFormat="1" applyFill="1" applyBorder="1" applyAlignment="1">
      <alignment horizontal="right" vertical="center"/>
    </xf>
    <xf numFmtId="0" fontId="0" fillId="0" borderId="14" xfId="0" applyBorder="1"/>
    <xf numFmtId="0" fontId="2" fillId="0" borderId="14" xfId="0" applyFont="1" applyBorder="1"/>
    <xf numFmtId="164" fontId="2" fillId="0" borderId="14" xfId="0" applyNumberFormat="1" applyFont="1" applyBorder="1" applyAlignment="1">
      <alignment horizontal="right" vertical="center"/>
    </xf>
    <xf numFmtId="0" fontId="0" fillId="0" borderId="13" xfId="0" applyBorder="1" applyAlignment="1">
      <alignment horizontal="left" vertical="center" wrapText="1"/>
    </xf>
    <xf numFmtId="0" fontId="0" fillId="11" borderId="13" xfId="0" applyFill="1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11" borderId="13" xfId="0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0" borderId="0" xfId="0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9" borderId="0" xfId="0" applyFont="1" applyFill="1" applyAlignment="1">
      <alignment horizontal="center" vertical="center"/>
    </xf>
    <xf numFmtId="0" fontId="0" fillId="8" borderId="0" xfId="0" applyFill="1"/>
    <xf numFmtId="0" fontId="8" fillId="10" borderId="0" xfId="0" applyFont="1" applyFill="1" applyAlignment="1">
      <alignment horizontal="left" vertical="center" indent="1"/>
    </xf>
  </cellXfs>
  <cellStyles count="1">
    <cellStyle name="Normal" xfId="0" builtinId="0"/>
  </cellStyles>
  <dxfs count="20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1F4E78"/>
          <bgColor rgb="FF00529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529B"/>
        </patternFill>
      </fill>
    </dxf>
  </dxfs>
  <tableStyles count="0" defaultTableStyle="TableStyleMedium9" defaultPivotStyle="PivotStyleLight16"/>
  <colors>
    <mruColors>
      <color rgb="FF00529B"/>
      <color rgb="FFBFBFBF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emili/Downloads/Plantilla_ERP_Materiales.xlsx" TargetMode="External"/><Relationship Id="rId2" Type="http://schemas.openxmlformats.org/officeDocument/2006/relationships/externalLinkPath" Target="file:///C:\Users\emili\Downloads\Plantilla_ERP_Materiales.xlsx" TargetMode="External"/><Relationship Id="rId1" Type="http://schemas.openxmlformats.org/officeDocument/2006/relationships/externalLinkPath" Target="/Users/emili/Downloads/Plantilla_ERP_Materi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figuracion"/>
    </sheetNames>
    <sheetDataSet>
      <sheetData sheetId="0">
        <row r="2">
          <cell r="A2" t="str">
            <v>POTENCIA</v>
          </cell>
          <cell r="B2" t="str">
            <v>POT</v>
          </cell>
        </row>
        <row r="3">
          <cell r="A3" t="str">
            <v>INSTRUMENTACION</v>
          </cell>
          <cell r="B3" t="str">
            <v>INS</v>
          </cell>
        </row>
        <row r="4">
          <cell r="A4" t="str">
            <v>MECANICA</v>
          </cell>
          <cell r="B4" t="str">
            <v>MEC</v>
          </cell>
        </row>
        <row r="5">
          <cell r="A5" t="str">
            <v>INTERFACES</v>
          </cell>
          <cell r="B5" t="str">
            <v>INT</v>
          </cell>
        </row>
        <row r="6">
          <cell r="A6" t="str">
            <v>REFACCIONES</v>
          </cell>
          <cell r="B6" t="str">
            <v>REF</v>
          </cell>
        </row>
        <row r="7">
          <cell r="A7" t="str">
            <v>OTRO</v>
          </cell>
          <cell r="B7" t="str">
            <v>OTR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53F5DA-5DCF-44A8-B64D-46D166E009B4}" name="Tabla2" displayName="Tabla2" ref="A3:F11" totalsRowShown="0" headerRowDxfId="19">
  <autoFilter ref="A3:F11" xr:uid="{4453F5DA-5DCF-44A8-B64D-46D166E009B4}"/>
  <tableColumns count="6">
    <tableColumn id="1" xr3:uid="{A748DAA2-6C04-4D14-8A8D-AA1DDC4F05DF}" name="ID"/>
    <tableColumn id="2" xr3:uid="{8C95FA72-9114-4F31-9305-26D39AF6F75C}" name="Fecha de emisión " dataDxfId="18"/>
    <tableColumn id="3" xr3:uid="{0836D326-2DDB-43EB-A6AD-7C8455221E6B}" name="Fecha liímite "/>
    <tableColumn id="4" xr3:uid="{6E1572CF-4652-4F70-BB07-D2965938B4B7}" name="Producto"/>
    <tableColumn id="5" xr3:uid="{B548ADDB-092E-469D-8CBA-CADE4119C518}" name="Cantidad a producir"/>
    <tableColumn id="6" xr3:uid="{AFE93046-DFB7-468F-A0A6-9154CCD592B2}" name="Prioridad 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231CAE-1550-41DF-AEE8-39386A6DDD0A}" name="Tabla5" displayName="Tabla5" ref="A9:J86" totalsRowShown="0" headerRowDxfId="17" dataDxfId="15" headerRowBorderDxfId="16" tableBorderDxfId="14" totalsRowBorderDxfId="13">
  <autoFilter ref="A9:J86" xr:uid="{EC231CAE-1550-41DF-AEE8-39386A6DDD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AFAEA96-5654-42E1-A541-FC9BC3C5140B}" name="ID" dataDxfId="12"/>
    <tableColumn id="2" xr3:uid="{3E740AC5-8DA3-4A2F-B2FB-6796F5D62769}" name="Op." dataDxfId="11"/>
    <tableColumn id="3" xr3:uid="{6C66057B-4AC8-4CB8-80EC-1E78B646FBD5}" name="Centro de Trabajo" dataDxfId="10"/>
    <tableColumn id="4" xr3:uid="{E42DD13B-49B3-48CE-AEE0-B407A2601503}" name="Descripción del Proceso" dataDxfId="9"/>
    <tableColumn id="5" xr3:uid="{694AB5E7-4199-41D1-BD8B-96F4D2735B89}" name="Operador" dataDxfId="8"/>
    <tableColumn id="6" xr3:uid="{AC8FA671-8DFB-4F26-ACA9-53C6C459413D}" name="Inicio" dataDxfId="7"/>
    <tableColumn id="7" xr3:uid="{2D0F8468-17C8-4FED-B4FB-D3B89B37B008}" name="Fin" dataDxfId="6"/>
    <tableColumn id="8" xr3:uid="{C6895492-9E13-4129-B61D-31DD153570DE}" name="Cant. Buena" dataDxfId="5"/>
    <tableColumn id="9" xr3:uid="{7EC71956-C596-4A7F-A236-9F64EFF210FC}" name="Scrap" dataDxfId="4"/>
    <tableColumn id="10" xr3:uid="{BDB06A12-F1E3-4BAB-9B80-FE52C8603832}" name="Firma Calidad" dataDxfId="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D0423-28D9-4D36-A7BD-53CC8076D6FB}">
  <dimension ref="A1:F11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1" width="11.36328125" bestFit="1" customWidth="1"/>
    <col min="2" max="2" width="17.90625" bestFit="1" customWidth="1"/>
    <col min="3" max="3" width="14" bestFit="1" customWidth="1"/>
    <col min="4" max="4" width="38.54296875" bestFit="1" customWidth="1"/>
    <col min="5" max="5" width="19.7265625" bestFit="1" customWidth="1"/>
    <col min="6" max="6" width="11.26953125" bestFit="1" customWidth="1"/>
  </cols>
  <sheetData>
    <row r="1" spans="1:6" ht="14.5" customHeight="1" x14ac:dyDescent="0.35">
      <c r="A1" s="51" t="s">
        <v>204</v>
      </c>
      <c r="B1" s="51"/>
      <c r="C1" s="51"/>
      <c r="D1" s="51"/>
      <c r="E1" s="51"/>
      <c r="F1" s="51"/>
    </row>
    <row r="2" spans="1:6" x14ac:dyDescent="0.35">
      <c r="A2" s="51"/>
      <c r="B2" s="51"/>
      <c r="C2" s="51"/>
      <c r="D2" s="51"/>
      <c r="E2" s="51"/>
      <c r="F2" s="51"/>
    </row>
    <row r="3" spans="1:6" x14ac:dyDescent="0.35">
      <c r="A3" s="28" t="s">
        <v>46</v>
      </c>
      <c r="B3" s="28" t="s">
        <v>85</v>
      </c>
      <c r="C3" s="28" t="s">
        <v>86</v>
      </c>
      <c r="D3" s="28" t="s">
        <v>87</v>
      </c>
      <c r="E3" s="28" t="s">
        <v>88</v>
      </c>
      <c r="F3" s="28" t="s">
        <v>89</v>
      </c>
    </row>
    <row r="4" spans="1:6" x14ac:dyDescent="0.35">
      <c r="A4" t="s">
        <v>69</v>
      </c>
      <c r="B4" s="8">
        <v>46268</v>
      </c>
      <c r="C4" s="8">
        <v>46285</v>
      </c>
      <c r="D4" t="s">
        <v>70</v>
      </c>
      <c r="E4">
        <v>1</v>
      </c>
      <c r="F4" t="s">
        <v>90</v>
      </c>
    </row>
    <row r="5" spans="1:6" x14ac:dyDescent="0.35">
      <c r="A5" t="s">
        <v>71</v>
      </c>
      <c r="B5" s="8">
        <v>46269</v>
      </c>
      <c r="C5" s="8">
        <v>46290</v>
      </c>
      <c r="D5" t="s">
        <v>72</v>
      </c>
      <c r="E5">
        <v>1</v>
      </c>
      <c r="F5" t="s">
        <v>90</v>
      </c>
    </row>
    <row r="6" spans="1:6" x14ac:dyDescent="0.35">
      <c r="A6" t="s">
        <v>73</v>
      </c>
      <c r="B6" s="8">
        <v>46270</v>
      </c>
      <c r="C6" s="8">
        <v>46292</v>
      </c>
      <c r="D6" t="s">
        <v>74</v>
      </c>
      <c r="E6">
        <v>1</v>
      </c>
      <c r="F6" t="s">
        <v>90</v>
      </c>
    </row>
    <row r="7" spans="1:6" x14ac:dyDescent="0.35">
      <c r="A7" t="s">
        <v>75</v>
      </c>
      <c r="B7" s="8">
        <v>46271</v>
      </c>
      <c r="C7" s="8">
        <v>46292</v>
      </c>
      <c r="D7" t="s">
        <v>76</v>
      </c>
      <c r="E7">
        <v>1</v>
      </c>
      <c r="F7" t="s">
        <v>90</v>
      </c>
    </row>
    <row r="8" spans="1:6" x14ac:dyDescent="0.35">
      <c r="A8" t="s">
        <v>77</v>
      </c>
      <c r="B8" s="8">
        <v>46272</v>
      </c>
      <c r="C8" s="8">
        <v>46293</v>
      </c>
      <c r="D8" t="s">
        <v>78</v>
      </c>
      <c r="E8">
        <v>1</v>
      </c>
      <c r="F8" t="s">
        <v>92</v>
      </c>
    </row>
    <row r="9" spans="1:6" x14ac:dyDescent="0.35">
      <c r="A9" t="s">
        <v>79</v>
      </c>
      <c r="B9" s="8">
        <v>46273</v>
      </c>
      <c r="C9" s="8">
        <v>46300</v>
      </c>
      <c r="D9" t="s">
        <v>80</v>
      </c>
      <c r="E9">
        <v>1</v>
      </c>
      <c r="F9" t="s">
        <v>91</v>
      </c>
    </row>
    <row r="10" spans="1:6" x14ac:dyDescent="0.35">
      <c r="A10" t="s">
        <v>81</v>
      </c>
      <c r="B10" s="8">
        <v>46274</v>
      </c>
      <c r="C10" s="8">
        <v>46315</v>
      </c>
      <c r="D10" t="s">
        <v>82</v>
      </c>
      <c r="E10">
        <v>1</v>
      </c>
      <c r="F10" t="s">
        <v>91</v>
      </c>
    </row>
    <row r="11" spans="1:6" x14ac:dyDescent="0.35">
      <c r="A11" t="s">
        <v>83</v>
      </c>
      <c r="B11" s="8">
        <v>46275</v>
      </c>
      <c r="C11" s="8">
        <v>46339</v>
      </c>
      <c r="D11" t="s">
        <v>84</v>
      </c>
      <c r="E11">
        <v>1</v>
      </c>
      <c r="F11" t="s">
        <v>91</v>
      </c>
    </row>
  </sheetData>
  <mergeCells count="1">
    <mergeCell ref="A1:F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showGridLines="0" zoomScale="85" zoomScaleNormal="85" workbookViewId="0">
      <pane ySplit="9" topLeftCell="A10" activePane="bottomLeft" state="frozen"/>
      <selection pane="bottomLeft" activeCell="B1" sqref="B1:J2"/>
    </sheetView>
  </sheetViews>
  <sheetFormatPr baseColWidth="10" defaultColWidth="9.08984375" defaultRowHeight="14.5" x14ac:dyDescent="0.35"/>
  <cols>
    <col min="1" max="1" width="11.54296875" bestFit="1" customWidth="1"/>
    <col min="2" max="2" width="17.36328125" bestFit="1" customWidth="1"/>
    <col min="3" max="3" width="27.36328125" customWidth="1"/>
    <col min="4" max="4" width="37.6328125" customWidth="1"/>
    <col min="5" max="5" width="20.90625" customWidth="1"/>
    <col min="6" max="6" width="12" customWidth="1"/>
    <col min="7" max="7" width="13.36328125" bestFit="1" customWidth="1"/>
    <col min="8" max="8" width="13.54296875" customWidth="1"/>
    <col min="9" max="9" width="10" customWidth="1"/>
    <col min="10" max="10" width="15" customWidth="1"/>
  </cols>
  <sheetData>
    <row r="1" spans="1:11" x14ac:dyDescent="0.35">
      <c r="B1" s="52" t="s">
        <v>7</v>
      </c>
      <c r="C1" s="50"/>
      <c r="D1" s="50"/>
      <c r="E1" s="50"/>
      <c r="F1" s="50"/>
      <c r="G1" s="50"/>
      <c r="H1" s="50"/>
      <c r="I1" s="50"/>
      <c r="J1" s="50"/>
    </row>
    <row r="2" spans="1:11" x14ac:dyDescent="0.35">
      <c r="B2" s="50"/>
      <c r="C2" s="50"/>
      <c r="D2" s="50"/>
      <c r="E2" s="50"/>
      <c r="F2" s="50"/>
      <c r="G2" s="50"/>
      <c r="H2" s="50"/>
      <c r="I2" s="50"/>
      <c r="J2" s="50"/>
    </row>
    <row r="4" spans="1:11" x14ac:dyDescent="0.35">
      <c r="A4" s="27"/>
      <c r="B4" s="53" t="s">
        <v>8</v>
      </c>
      <c r="C4" s="54"/>
      <c r="D4" s="54"/>
      <c r="E4" s="54"/>
      <c r="F4" s="54"/>
      <c r="G4" s="54"/>
      <c r="H4" s="54"/>
      <c r="I4" s="54"/>
      <c r="J4" s="54"/>
    </row>
    <row r="5" spans="1:11" x14ac:dyDescent="0.35">
      <c r="B5" s="1" t="s">
        <v>9</v>
      </c>
      <c r="C5" t="s">
        <v>10</v>
      </c>
      <c r="G5" s="1" t="s">
        <v>11</v>
      </c>
      <c r="H5" s="8">
        <v>46300</v>
      </c>
    </row>
    <row r="6" spans="1:11" x14ac:dyDescent="0.35">
      <c r="B6" s="1" t="s">
        <v>12</v>
      </c>
      <c r="C6" t="s">
        <v>0</v>
      </c>
      <c r="G6" s="1" t="s">
        <v>13</v>
      </c>
      <c r="H6" s="8">
        <v>46360</v>
      </c>
    </row>
    <row r="7" spans="1:11" x14ac:dyDescent="0.35">
      <c r="B7" s="1" t="s">
        <v>14</v>
      </c>
      <c r="C7" s="5">
        <v>1</v>
      </c>
      <c r="G7" s="1" t="s">
        <v>15</v>
      </c>
      <c r="H7" t="s">
        <v>16</v>
      </c>
    </row>
    <row r="9" spans="1:11" x14ac:dyDescent="0.35">
      <c r="A9" s="24" t="s">
        <v>46</v>
      </c>
      <c r="B9" s="25" t="s">
        <v>17</v>
      </c>
      <c r="C9" s="25" t="s">
        <v>18</v>
      </c>
      <c r="D9" s="25" t="s">
        <v>19</v>
      </c>
      <c r="E9" s="25" t="s">
        <v>20</v>
      </c>
      <c r="F9" s="25" t="s">
        <v>21</v>
      </c>
      <c r="G9" s="25" t="s">
        <v>22</v>
      </c>
      <c r="H9" s="25" t="s">
        <v>23</v>
      </c>
      <c r="I9" s="25" t="s">
        <v>24</v>
      </c>
      <c r="J9" s="26" t="s">
        <v>25</v>
      </c>
      <c r="K9" s="10"/>
    </row>
    <row r="10" spans="1:11" x14ac:dyDescent="0.35">
      <c r="A10" s="11" t="s">
        <v>69</v>
      </c>
      <c r="B10" s="12">
        <v>10</v>
      </c>
      <c r="C10" s="13" t="s">
        <v>93</v>
      </c>
      <c r="D10" s="13" t="s">
        <v>94</v>
      </c>
      <c r="E10" s="14"/>
      <c r="F10" s="14"/>
      <c r="G10" s="14"/>
      <c r="H10" s="14"/>
      <c r="I10" s="14"/>
      <c r="J10" s="15"/>
      <c r="K10" s="9"/>
    </row>
    <row r="11" spans="1:11" x14ac:dyDescent="0.35">
      <c r="A11" s="16"/>
      <c r="B11" s="12">
        <v>20</v>
      </c>
      <c r="C11" s="13" t="s">
        <v>95</v>
      </c>
      <c r="D11" s="13" t="s">
        <v>26</v>
      </c>
      <c r="E11" s="17"/>
      <c r="F11" s="17"/>
      <c r="G11" s="17"/>
      <c r="H11" s="17"/>
      <c r="I11" s="17"/>
      <c r="J11" s="18"/>
      <c r="K11" s="9"/>
    </row>
    <row r="12" spans="1:11" x14ac:dyDescent="0.35">
      <c r="A12" s="16"/>
      <c r="B12" s="12">
        <v>30</v>
      </c>
      <c r="C12" s="13" t="s">
        <v>96</v>
      </c>
      <c r="D12" s="13" t="s">
        <v>97</v>
      </c>
      <c r="E12" s="17"/>
      <c r="F12" s="14"/>
      <c r="G12" s="14"/>
      <c r="H12" s="14"/>
      <c r="I12" s="14"/>
      <c r="J12" s="15"/>
      <c r="K12" s="9"/>
    </row>
    <row r="13" spans="1:11" x14ac:dyDescent="0.35">
      <c r="A13" s="16"/>
      <c r="B13" s="12">
        <v>40</v>
      </c>
      <c r="C13" s="13" t="s">
        <v>98</v>
      </c>
      <c r="D13" s="13" t="s">
        <v>99</v>
      </c>
      <c r="E13" s="17"/>
      <c r="F13" s="17"/>
      <c r="G13" s="17"/>
      <c r="H13" s="17"/>
      <c r="I13" s="17"/>
      <c r="J13" s="18"/>
      <c r="K13" s="9"/>
    </row>
    <row r="14" spans="1:11" x14ac:dyDescent="0.35">
      <c r="A14" s="16"/>
      <c r="B14" s="12">
        <v>50</v>
      </c>
      <c r="C14" s="13" t="s">
        <v>27</v>
      </c>
      <c r="D14" s="13" t="s">
        <v>100</v>
      </c>
      <c r="E14" s="14"/>
      <c r="F14" s="14"/>
      <c r="G14" s="14"/>
      <c r="H14" s="14"/>
      <c r="I14" s="14"/>
      <c r="J14" s="15"/>
      <c r="K14" s="9"/>
    </row>
    <row r="15" spans="1:11" x14ac:dyDescent="0.35">
      <c r="A15" s="16"/>
      <c r="B15" s="12">
        <v>60</v>
      </c>
      <c r="C15" s="13" t="s">
        <v>101</v>
      </c>
      <c r="D15" s="13" t="s">
        <v>102</v>
      </c>
      <c r="E15" s="17"/>
      <c r="F15" s="17"/>
      <c r="G15" s="17"/>
      <c r="H15" s="17"/>
      <c r="I15" s="17"/>
      <c r="J15" s="18"/>
      <c r="K15" s="9"/>
    </row>
    <row r="16" spans="1:11" x14ac:dyDescent="0.35">
      <c r="A16" s="16" t="s">
        <v>71</v>
      </c>
      <c r="B16" s="12">
        <v>10</v>
      </c>
      <c r="C16" s="13" t="s">
        <v>93</v>
      </c>
      <c r="D16" s="13" t="s">
        <v>105</v>
      </c>
      <c r="E16" s="14"/>
      <c r="F16" s="14"/>
      <c r="G16" s="14"/>
      <c r="H16" s="14"/>
      <c r="I16" s="14"/>
      <c r="J16" s="15"/>
      <c r="K16" s="9"/>
    </row>
    <row r="17" spans="1:11" x14ac:dyDescent="0.35">
      <c r="A17" s="16"/>
      <c r="B17" s="12">
        <v>20</v>
      </c>
      <c r="C17" s="13" t="s">
        <v>106</v>
      </c>
      <c r="D17" s="13" t="s">
        <v>107</v>
      </c>
      <c r="E17" s="17"/>
      <c r="F17" s="17"/>
      <c r="G17" s="17"/>
      <c r="H17" s="17"/>
      <c r="I17" s="17"/>
      <c r="J17" s="18"/>
      <c r="K17" s="9"/>
    </row>
    <row r="18" spans="1:11" x14ac:dyDescent="0.35">
      <c r="A18" s="16"/>
      <c r="B18" s="12">
        <v>30</v>
      </c>
      <c r="C18" s="13" t="s">
        <v>106</v>
      </c>
      <c r="D18" s="13" t="s">
        <v>108</v>
      </c>
      <c r="E18" s="14"/>
      <c r="F18" s="14"/>
      <c r="G18" s="14"/>
      <c r="H18" s="14"/>
      <c r="I18" s="14"/>
      <c r="J18" s="15"/>
      <c r="K18" s="9"/>
    </row>
    <row r="19" spans="1:11" x14ac:dyDescent="0.35">
      <c r="A19" s="16"/>
      <c r="B19" s="12">
        <v>40</v>
      </c>
      <c r="C19" s="13" t="s">
        <v>109</v>
      </c>
      <c r="D19" s="13" t="s">
        <v>110</v>
      </c>
      <c r="E19" s="17"/>
      <c r="F19" s="17"/>
      <c r="G19" s="17"/>
      <c r="H19" s="17"/>
      <c r="I19" s="17"/>
      <c r="J19" s="18"/>
      <c r="K19" s="9"/>
    </row>
    <row r="20" spans="1:11" x14ac:dyDescent="0.35">
      <c r="A20" s="16"/>
      <c r="B20" s="12">
        <v>50</v>
      </c>
      <c r="C20" s="13" t="s">
        <v>111</v>
      </c>
      <c r="D20" s="13" t="s">
        <v>103</v>
      </c>
      <c r="E20" s="14"/>
      <c r="F20" s="14"/>
      <c r="G20" s="14"/>
      <c r="H20" s="14"/>
      <c r="I20" s="14"/>
      <c r="J20" s="15"/>
      <c r="K20" s="9"/>
    </row>
    <row r="21" spans="1:11" x14ac:dyDescent="0.35">
      <c r="A21" s="16"/>
      <c r="B21" s="12">
        <v>60</v>
      </c>
      <c r="C21" s="13" t="s">
        <v>112</v>
      </c>
      <c r="D21" s="13" t="s">
        <v>113</v>
      </c>
      <c r="E21" s="17"/>
      <c r="F21" s="17"/>
      <c r="G21" s="17"/>
      <c r="H21" s="17"/>
      <c r="I21" s="17"/>
      <c r="J21" s="18"/>
      <c r="K21" s="9"/>
    </row>
    <row r="22" spans="1:11" x14ac:dyDescent="0.35">
      <c r="A22" s="16"/>
      <c r="B22" s="12">
        <v>70</v>
      </c>
      <c r="C22" s="13" t="s">
        <v>114</v>
      </c>
      <c r="D22" s="13" t="s">
        <v>0</v>
      </c>
      <c r="E22" s="17"/>
      <c r="F22" s="17"/>
      <c r="G22" s="17"/>
      <c r="H22" s="17"/>
      <c r="I22" s="17"/>
      <c r="J22" s="18"/>
      <c r="K22" s="9"/>
    </row>
    <row r="23" spans="1:11" x14ac:dyDescent="0.35">
      <c r="A23" s="11" t="s">
        <v>73</v>
      </c>
      <c r="B23" s="12">
        <v>10</v>
      </c>
      <c r="C23" s="13" t="s">
        <v>93</v>
      </c>
      <c r="D23" s="13" t="s">
        <v>115</v>
      </c>
      <c r="E23" s="17"/>
      <c r="F23" s="17"/>
      <c r="G23" s="17"/>
      <c r="H23" s="17"/>
      <c r="I23" s="17"/>
      <c r="J23" s="18"/>
      <c r="K23" s="9"/>
    </row>
    <row r="24" spans="1:11" x14ac:dyDescent="0.35">
      <c r="A24" s="16"/>
      <c r="B24" s="12">
        <v>20</v>
      </c>
      <c r="C24" s="13" t="s">
        <v>116</v>
      </c>
      <c r="D24" s="13" t="s">
        <v>117</v>
      </c>
      <c r="E24" s="17"/>
      <c r="F24" s="17"/>
      <c r="G24" s="17"/>
      <c r="H24" s="17"/>
      <c r="I24" s="17"/>
      <c r="J24" s="18"/>
      <c r="K24" s="9"/>
    </row>
    <row r="25" spans="1:11" x14ac:dyDescent="0.35">
      <c r="A25" s="16"/>
      <c r="B25" s="12">
        <v>30</v>
      </c>
      <c r="C25" s="13" t="s">
        <v>116</v>
      </c>
      <c r="D25" s="13" t="s">
        <v>118</v>
      </c>
      <c r="E25" s="17"/>
      <c r="F25" s="17"/>
      <c r="G25" s="17"/>
      <c r="H25" s="17"/>
      <c r="I25" s="17"/>
      <c r="J25" s="18"/>
      <c r="K25" s="9"/>
    </row>
    <row r="26" spans="1:11" x14ac:dyDescent="0.35">
      <c r="A26" s="16"/>
      <c r="B26" s="12">
        <v>40</v>
      </c>
      <c r="C26" s="13" t="s">
        <v>119</v>
      </c>
      <c r="D26" s="13" t="s">
        <v>120</v>
      </c>
      <c r="E26" s="17"/>
      <c r="F26" s="17"/>
      <c r="G26" s="17"/>
      <c r="H26" s="17"/>
      <c r="I26" s="17"/>
      <c r="J26" s="18"/>
      <c r="K26" s="9"/>
    </row>
    <row r="27" spans="1:11" x14ac:dyDescent="0.35">
      <c r="A27" s="16"/>
      <c r="B27" s="12">
        <v>50</v>
      </c>
      <c r="C27" s="13" t="s">
        <v>121</v>
      </c>
      <c r="D27" s="13" t="s">
        <v>122</v>
      </c>
      <c r="E27" s="17"/>
      <c r="F27" s="17"/>
      <c r="G27" s="17"/>
      <c r="H27" s="17"/>
      <c r="I27" s="17"/>
      <c r="J27" s="18"/>
      <c r="K27" s="9"/>
    </row>
    <row r="28" spans="1:11" x14ac:dyDescent="0.35">
      <c r="A28" s="16"/>
      <c r="B28" s="12">
        <v>60</v>
      </c>
      <c r="C28" s="13" t="s">
        <v>123</v>
      </c>
      <c r="D28" s="13" t="s">
        <v>2</v>
      </c>
      <c r="E28" s="17"/>
      <c r="F28" s="17"/>
      <c r="G28" s="17"/>
      <c r="H28" s="17"/>
      <c r="I28" s="17"/>
      <c r="J28" s="18"/>
      <c r="K28" s="9"/>
    </row>
    <row r="29" spans="1:11" x14ac:dyDescent="0.35">
      <c r="A29" s="16"/>
      <c r="B29" s="12">
        <v>70</v>
      </c>
      <c r="C29" s="13" t="s">
        <v>124</v>
      </c>
      <c r="D29" s="13" t="s">
        <v>125</v>
      </c>
      <c r="E29" s="17"/>
      <c r="F29" s="17"/>
      <c r="G29" s="17"/>
      <c r="H29" s="17"/>
      <c r="I29" s="17"/>
      <c r="J29" s="18"/>
      <c r="K29" s="9"/>
    </row>
    <row r="30" spans="1:11" x14ac:dyDescent="0.35">
      <c r="A30" s="16"/>
      <c r="B30" s="12">
        <v>80</v>
      </c>
      <c r="C30" s="13" t="s">
        <v>126</v>
      </c>
      <c r="D30" s="13" t="s">
        <v>127</v>
      </c>
      <c r="E30" s="17"/>
      <c r="F30" s="17"/>
      <c r="G30" s="17"/>
      <c r="H30" s="17"/>
      <c r="I30" s="17"/>
      <c r="J30" s="18"/>
      <c r="K30" s="9"/>
    </row>
    <row r="31" spans="1:11" x14ac:dyDescent="0.35">
      <c r="A31" s="16" t="s">
        <v>75</v>
      </c>
      <c r="B31" s="12">
        <v>10</v>
      </c>
      <c r="C31" s="13" t="s">
        <v>93</v>
      </c>
      <c r="D31" s="13" t="s">
        <v>128</v>
      </c>
      <c r="E31" s="17"/>
      <c r="F31" s="17"/>
      <c r="G31" s="17"/>
      <c r="H31" s="17"/>
      <c r="I31" s="17"/>
      <c r="J31" s="18"/>
      <c r="K31" s="9"/>
    </row>
    <row r="32" spans="1:11" x14ac:dyDescent="0.35">
      <c r="A32" s="16"/>
      <c r="B32" s="12">
        <v>20</v>
      </c>
      <c r="C32" s="13" t="s">
        <v>104</v>
      </c>
      <c r="D32" s="13" t="s">
        <v>129</v>
      </c>
      <c r="E32" s="17"/>
      <c r="F32" s="17"/>
      <c r="G32" s="17"/>
      <c r="H32" s="17"/>
      <c r="I32" s="17"/>
      <c r="J32" s="18"/>
      <c r="K32" s="9"/>
    </row>
    <row r="33" spans="1:11" x14ac:dyDescent="0.35">
      <c r="A33" s="16"/>
      <c r="B33" s="12">
        <v>30</v>
      </c>
      <c r="C33" s="13" t="s">
        <v>104</v>
      </c>
      <c r="D33" s="13" t="s">
        <v>130</v>
      </c>
      <c r="E33" s="17"/>
      <c r="F33" s="17"/>
      <c r="G33" s="17"/>
      <c r="H33" s="17"/>
      <c r="I33" s="17"/>
      <c r="J33" s="18"/>
      <c r="K33" s="9"/>
    </row>
    <row r="34" spans="1:11" x14ac:dyDescent="0.35">
      <c r="A34" s="16"/>
      <c r="B34" s="12">
        <v>40</v>
      </c>
      <c r="C34" s="13" t="s">
        <v>104</v>
      </c>
      <c r="D34" s="13" t="s">
        <v>4</v>
      </c>
      <c r="E34" s="17"/>
      <c r="F34" s="17"/>
      <c r="G34" s="17"/>
      <c r="H34" s="17"/>
      <c r="I34" s="17"/>
      <c r="J34" s="18"/>
      <c r="K34" s="9"/>
    </row>
    <row r="35" spans="1:11" x14ac:dyDescent="0.35">
      <c r="A35" s="16"/>
      <c r="B35" s="12">
        <v>50</v>
      </c>
      <c r="C35" s="13" t="s">
        <v>111</v>
      </c>
      <c r="D35" s="13" t="s">
        <v>131</v>
      </c>
      <c r="E35" s="17"/>
      <c r="F35" s="17"/>
      <c r="G35" s="17"/>
      <c r="H35" s="17"/>
      <c r="I35" s="17"/>
      <c r="J35" s="18"/>
      <c r="K35" s="9"/>
    </row>
    <row r="36" spans="1:11" x14ac:dyDescent="0.35">
      <c r="A36" s="16"/>
      <c r="B36" s="12">
        <v>60</v>
      </c>
      <c r="C36" s="13" t="s">
        <v>121</v>
      </c>
      <c r="D36" s="13" t="s">
        <v>132</v>
      </c>
      <c r="E36" s="17"/>
      <c r="F36" s="17"/>
      <c r="G36" s="17"/>
      <c r="H36" s="17"/>
      <c r="I36" s="17"/>
      <c r="J36" s="18"/>
      <c r="K36" s="9"/>
    </row>
    <row r="37" spans="1:11" x14ac:dyDescent="0.35">
      <c r="A37" s="16"/>
      <c r="B37" s="12">
        <v>70</v>
      </c>
      <c r="C37" s="13" t="s">
        <v>133</v>
      </c>
      <c r="D37" s="13" t="s">
        <v>134</v>
      </c>
      <c r="E37" s="17"/>
      <c r="F37" s="17"/>
      <c r="G37" s="17"/>
      <c r="H37" s="17"/>
      <c r="I37" s="17"/>
      <c r="J37" s="18"/>
      <c r="K37" s="9"/>
    </row>
    <row r="38" spans="1:11" x14ac:dyDescent="0.35">
      <c r="A38" s="16"/>
      <c r="B38" s="12">
        <v>80</v>
      </c>
      <c r="C38" s="13" t="s">
        <v>28</v>
      </c>
      <c r="D38" s="13" t="s">
        <v>135</v>
      </c>
      <c r="E38" s="17"/>
      <c r="F38" s="17"/>
      <c r="G38" s="17"/>
      <c r="H38" s="17"/>
      <c r="I38" s="17"/>
      <c r="J38" s="18"/>
      <c r="K38" s="9"/>
    </row>
    <row r="39" spans="1:11" x14ac:dyDescent="0.35">
      <c r="A39" s="11" t="s">
        <v>77</v>
      </c>
      <c r="B39" s="12">
        <v>10</v>
      </c>
      <c r="C39" s="13" t="s">
        <v>93</v>
      </c>
      <c r="D39" s="13" t="s">
        <v>136</v>
      </c>
      <c r="E39" s="17"/>
      <c r="F39" s="17"/>
      <c r="G39" s="17"/>
      <c r="H39" s="17"/>
      <c r="I39" s="17"/>
      <c r="J39" s="18"/>
      <c r="K39" s="9"/>
    </row>
    <row r="40" spans="1:11" x14ac:dyDescent="0.35">
      <c r="A40" s="16"/>
      <c r="B40" s="12">
        <v>20</v>
      </c>
      <c r="C40" s="13" t="s">
        <v>137</v>
      </c>
      <c r="D40" s="13" t="s">
        <v>138</v>
      </c>
      <c r="E40" s="17"/>
      <c r="F40" s="17"/>
      <c r="G40" s="17"/>
      <c r="H40" s="17"/>
      <c r="I40" s="17"/>
      <c r="J40" s="18"/>
      <c r="K40" s="9"/>
    </row>
    <row r="41" spans="1:11" x14ac:dyDescent="0.35">
      <c r="A41" s="16"/>
      <c r="B41" s="12">
        <v>30</v>
      </c>
      <c r="C41" s="13" t="s">
        <v>139</v>
      </c>
      <c r="D41" s="13" t="s">
        <v>140</v>
      </c>
      <c r="E41" s="17"/>
      <c r="F41" s="17"/>
      <c r="G41" s="17"/>
      <c r="H41" s="17"/>
      <c r="I41" s="17"/>
      <c r="J41" s="18"/>
      <c r="K41" s="9"/>
    </row>
    <row r="42" spans="1:11" x14ac:dyDescent="0.35">
      <c r="A42" s="16"/>
      <c r="B42" s="12">
        <v>40</v>
      </c>
      <c r="C42" s="13" t="s">
        <v>141</v>
      </c>
      <c r="D42" s="13" t="s">
        <v>142</v>
      </c>
      <c r="E42" s="17"/>
      <c r="F42" s="17"/>
      <c r="G42" s="17"/>
      <c r="H42" s="17"/>
      <c r="I42" s="17"/>
      <c r="J42" s="18"/>
      <c r="K42" s="9"/>
    </row>
    <row r="43" spans="1:11" x14ac:dyDescent="0.35">
      <c r="A43" s="16"/>
      <c r="B43" s="12">
        <v>50</v>
      </c>
      <c r="C43" s="13" t="s">
        <v>106</v>
      </c>
      <c r="D43" s="13" t="s">
        <v>143</v>
      </c>
      <c r="E43" s="17"/>
      <c r="F43" s="17"/>
      <c r="G43" s="17"/>
      <c r="H43" s="17"/>
      <c r="I43" s="17"/>
      <c r="J43" s="18"/>
      <c r="K43" s="9"/>
    </row>
    <row r="44" spans="1:11" x14ac:dyDescent="0.35">
      <c r="A44" s="16"/>
      <c r="B44" s="12">
        <v>60</v>
      </c>
      <c r="C44" s="13" t="s">
        <v>104</v>
      </c>
      <c r="D44" s="13" t="s">
        <v>144</v>
      </c>
      <c r="E44" s="17"/>
      <c r="F44" s="17"/>
      <c r="G44" s="17"/>
      <c r="H44" s="17"/>
      <c r="I44" s="17"/>
      <c r="J44" s="18"/>
      <c r="K44" s="9"/>
    </row>
    <row r="45" spans="1:11" x14ac:dyDescent="0.35">
      <c r="A45" s="16"/>
      <c r="B45" s="12">
        <v>70</v>
      </c>
      <c r="C45" s="13" t="s">
        <v>109</v>
      </c>
      <c r="D45" s="13" t="s">
        <v>145</v>
      </c>
      <c r="E45" s="17"/>
      <c r="F45" s="17"/>
      <c r="G45" s="17"/>
      <c r="H45" s="17"/>
      <c r="I45" s="17"/>
      <c r="J45" s="18"/>
      <c r="K45" s="9"/>
    </row>
    <row r="46" spans="1:11" x14ac:dyDescent="0.35">
      <c r="A46" s="16"/>
      <c r="B46" s="12">
        <v>80</v>
      </c>
      <c r="C46" s="13" t="s">
        <v>109</v>
      </c>
      <c r="D46" s="13" t="s">
        <v>6</v>
      </c>
      <c r="E46" s="17"/>
      <c r="F46" s="17"/>
      <c r="G46" s="17"/>
      <c r="H46" s="17"/>
      <c r="I46" s="17"/>
      <c r="J46" s="18"/>
      <c r="K46" s="9"/>
    </row>
    <row r="47" spans="1:11" x14ac:dyDescent="0.35">
      <c r="A47" s="16"/>
      <c r="B47" s="12">
        <v>90</v>
      </c>
      <c r="C47" s="13" t="s">
        <v>111</v>
      </c>
      <c r="D47" s="13" t="s">
        <v>146</v>
      </c>
      <c r="E47" s="17"/>
      <c r="F47" s="17"/>
      <c r="G47" s="17"/>
      <c r="H47" s="17"/>
      <c r="I47" s="17"/>
      <c r="J47" s="18"/>
      <c r="K47" s="9"/>
    </row>
    <row r="48" spans="1:11" x14ac:dyDescent="0.35">
      <c r="A48" s="16"/>
      <c r="B48" s="12">
        <v>100</v>
      </c>
      <c r="C48" s="13" t="s">
        <v>121</v>
      </c>
      <c r="D48" s="13" t="s">
        <v>147</v>
      </c>
      <c r="E48" s="17"/>
      <c r="F48" s="17"/>
      <c r="G48" s="17"/>
      <c r="H48" s="17"/>
      <c r="I48" s="17"/>
      <c r="J48" s="18"/>
      <c r="K48" s="9"/>
    </row>
    <row r="49" spans="1:11" x14ac:dyDescent="0.35">
      <c r="A49" s="16"/>
      <c r="B49" s="12">
        <v>110</v>
      </c>
      <c r="C49" s="13" t="s">
        <v>28</v>
      </c>
      <c r="D49" s="13" t="s">
        <v>148</v>
      </c>
      <c r="E49" s="17"/>
      <c r="F49" s="17"/>
      <c r="G49" s="17"/>
      <c r="H49" s="17"/>
      <c r="I49" s="17"/>
      <c r="J49" s="18"/>
      <c r="K49" s="9"/>
    </row>
    <row r="50" spans="1:11" x14ac:dyDescent="0.35">
      <c r="A50" s="16"/>
      <c r="B50" s="12">
        <v>120</v>
      </c>
      <c r="C50" s="13" t="s">
        <v>126</v>
      </c>
      <c r="D50" s="13" t="s">
        <v>78</v>
      </c>
      <c r="E50" s="17"/>
      <c r="F50" s="17"/>
      <c r="G50" s="17"/>
      <c r="H50" s="17"/>
      <c r="I50" s="17"/>
      <c r="J50" s="18"/>
      <c r="K50" s="9"/>
    </row>
    <row r="51" spans="1:11" x14ac:dyDescent="0.35">
      <c r="A51" s="16" t="s">
        <v>79</v>
      </c>
      <c r="B51" s="12">
        <v>10</v>
      </c>
      <c r="C51" s="13" t="s">
        <v>93</v>
      </c>
      <c r="D51" s="13" t="s">
        <v>149</v>
      </c>
      <c r="E51" s="17"/>
      <c r="F51" s="17"/>
      <c r="G51" s="17"/>
      <c r="H51" s="17"/>
      <c r="I51" s="17"/>
      <c r="J51" s="18"/>
      <c r="K51" s="9"/>
    </row>
    <row r="52" spans="1:11" x14ac:dyDescent="0.35">
      <c r="A52" s="16"/>
      <c r="B52" s="12">
        <v>20</v>
      </c>
      <c r="C52" s="13" t="s">
        <v>104</v>
      </c>
      <c r="D52" s="13" t="s">
        <v>150</v>
      </c>
      <c r="E52" s="17"/>
      <c r="F52" s="17"/>
      <c r="G52" s="17"/>
      <c r="H52" s="17"/>
      <c r="I52" s="17"/>
      <c r="J52" s="18"/>
      <c r="K52" s="9"/>
    </row>
    <row r="53" spans="1:11" x14ac:dyDescent="0.35">
      <c r="A53" s="16"/>
      <c r="B53" s="12">
        <v>30</v>
      </c>
      <c r="C53" s="13" t="s">
        <v>151</v>
      </c>
      <c r="D53" s="13" t="s">
        <v>152</v>
      </c>
      <c r="E53" s="17"/>
      <c r="F53" s="17"/>
      <c r="G53" s="17"/>
      <c r="H53" s="17"/>
      <c r="I53" s="17"/>
      <c r="J53" s="18"/>
      <c r="K53" s="9"/>
    </row>
    <row r="54" spans="1:11" x14ac:dyDescent="0.35">
      <c r="A54" s="16"/>
      <c r="B54" s="12">
        <v>40</v>
      </c>
      <c r="C54" s="13" t="s">
        <v>121</v>
      </c>
      <c r="D54" s="13" t="s">
        <v>153</v>
      </c>
      <c r="E54" s="17"/>
      <c r="F54" s="17"/>
      <c r="G54" s="17"/>
      <c r="H54" s="17"/>
      <c r="I54" s="17"/>
      <c r="J54" s="18"/>
      <c r="K54" s="9"/>
    </row>
    <row r="55" spans="1:11" x14ac:dyDescent="0.35">
      <c r="A55" s="16"/>
      <c r="B55" s="12">
        <v>50</v>
      </c>
      <c r="C55" s="13" t="s">
        <v>133</v>
      </c>
      <c r="D55" s="13" t="s">
        <v>149</v>
      </c>
      <c r="E55" s="17"/>
      <c r="F55" s="17"/>
      <c r="G55" s="17"/>
      <c r="H55" s="17"/>
      <c r="I55" s="17"/>
      <c r="J55" s="18"/>
      <c r="K55" s="9"/>
    </row>
    <row r="56" spans="1:11" x14ac:dyDescent="0.35">
      <c r="A56" s="16"/>
      <c r="B56" s="12">
        <v>60</v>
      </c>
      <c r="C56" s="13" t="s">
        <v>154</v>
      </c>
      <c r="D56" s="13" t="s">
        <v>155</v>
      </c>
      <c r="E56" s="17"/>
      <c r="F56" s="17"/>
      <c r="G56" s="17"/>
      <c r="H56" s="17"/>
      <c r="I56" s="17"/>
      <c r="J56" s="18"/>
      <c r="K56" s="9"/>
    </row>
    <row r="57" spans="1:11" x14ac:dyDescent="0.35">
      <c r="A57" s="16"/>
      <c r="B57" s="12">
        <v>70</v>
      </c>
      <c r="C57" s="13" t="s">
        <v>156</v>
      </c>
      <c r="D57" s="13" t="s">
        <v>157</v>
      </c>
      <c r="E57" s="17"/>
      <c r="F57" s="17"/>
      <c r="G57" s="17"/>
      <c r="H57" s="17"/>
      <c r="I57" s="17"/>
      <c r="J57" s="18"/>
      <c r="K57" s="9"/>
    </row>
    <row r="58" spans="1:11" x14ac:dyDescent="0.35">
      <c r="A58" s="16"/>
      <c r="B58" s="12">
        <v>80</v>
      </c>
      <c r="C58" s="13" t="s">
        <v>158</v>
      </c>
      <c r="D58" s="13" t="s">
        <v>159</v>
      </c>
      <c r="E58" s="17"/>
      <c r="F58" s="17"/>
      <c r="G58" s="17"/>
      <c r="H58" s="17"/>
      <c r="I58" s="17"/>
      <c r="J58" s="18"/>
      <c r="K58" s="9"/>
    </row>
    <row r="59" spans="1:11" x14ac:dyDescent="0.35">
      <c r="A59" s="11" t="s">
        <v>81</v>
      </c>
      <c r="B59" s="12">
        <v>10</v>
      </c>
      <c r="C59" s="13" t="s">
        <v>93</v>
      </c>
      <c r="D59" s="13" t="s">
        <v>160</v>
      </c>
      <c r="E59" s="17"/>
      <c r="F59" s="17"/>
      <c r="G59" s="17"/>
      <c r="H59" s="17"/>
      <c r="I59" s="17"/>
      <c r="J59" s="18"/>
      <c r="K59" s="9"/>
    </row>
    <row r="60" spans="1:11" x14ac:dyDescent="0.35">
      <c r="A60" s="16"/>
      <c r="B60" s="12">
        <v>20</v>
      </c>
      <c r="C60" s="13" t="s">
        <v>137</v>
      </c>
      <c r="D60" s="13" t="s">
        <v>161</v>
      </c>
      <c r="E60" s="17"/>
      <c r="F60" s="17"/>
      <c r="G60" s="17"/>
      <c r="H60" s="17"/>
      <c r="I60" s="17"/>
      <c r="J60" s="18"/>
      <c r="K60" s="9"/>
    </row>
    <row r="61" spans="1:11" x14ac:dyDescent="0.35">
      <c r="A61" s="16"/>
      <c r="B61" s="12">
        <v>30</v>
      </c>
      <c r="C61" s="13" t="s">
        <v>139</v>
      </c>
      <c r="D61" s="13" t="s">
        <v>162</v>
      </c>
      <c r="E61" s="17"/>
      <c r="F61" s="17"/>
      <c r="G61" s="17"/>
      <c r="H61" s="17"/>
      <c r="I61" s="17"/>
      <c r="J61" s="18"/>
      <c r="K61" s="9"/>
    </row>
    <row r="62" spans="1:11" x14ac:dyDescent="0.35">
      <c r="A62" s="16"/>
      <c r="B62" s="12">
        <v>40</v>
      </c>
      <c r="C62" s="13" t="s">
        <v>106</v>
      </c>
      <c r="D62" s="13" t="s">
        <v>163</v>
      </c>
      <c r="E62" s="17"/>
      <c r="F62" s="17"/>
      <c r="G62" s="17"/>
      <c r="H62" s="17"/>
      <c r="I62" s="17"/>
      <c r="J62" s="18"/>
      <c r="K62" s="9"/>
    </row>
    <row r="63" spans="1:11" x14ac:dyDescent="0.35">
      <c r="A63" s="16"/>
      <c r="B63" s="12">
        <v>50</v>
      </c>
      <c r="C63" s="13" t="s">
        <v>104</v>
      </c>
      <c r="D63" s="13" t="s">
        <v>164</v>
      </c>
      <c r="E63" s="17"/>
      <c r="F63" s="17"/>
      <c r="G63" s="17"/>
      <c r="H63" s="17"/>
      <c r="I63" s="17"/>
      <c r="J63" s="18"/>
      <c r="K63" s="9"/>
    </row>
    <row r="64" spans="1:11" x14ac:dyDescent="0.35">
      <c r="A64" s="16"/>
      <c r="B64" s="12">
        <v>60</v>
      </c>
      <c r="C64" s="13" t="s">
        <v>111</v>
      </c>
      <c r="D64" s="13" t="s">
        <v>165</v>
      </c>
      <c r="E64" s="17"/>
      <c r="F64" s="17"/>
      <c r="G64" s="17"/>
      <c r="H64" s="17"/>
      <c r="I64" s="17"/>
      <c r="J64" s="18"/>
      <c r="K64" s="9"/>
    </row>
    <row r="65" spans="1:11" x14ac:dyDescent="0.35">
      <c r="A65" s="16"/>
      <c r="B65" s="12">
        <v>70</v>
      </c>
      <c r="C65" s="13" t="s">
        <v>121</v>
      </c>
      <c r="D65" s="13" t="s">
        <v>166</v>
      </c>
      <c r="E65" s="17"/>
      <c r="F65" s="17"/>
      <c r="G65" s="17"/>
      <c r="H65" s="17"/>
      <c r="I65" s="17"/>
      <c r="J65" s="18"/>
      <c r="K65" s="9"/>
    </row>
    <row r="66" spans="1:11" x14ac:dyDescent="0.35">
      <c r="A66" s="16"/>
      <c r="B66" s="12">
        <v>80</v>
      </c>
      <c r="C66" s="13" t="s">
        <v>133</v>
      </c>
      <c r="D66" s="13" t="s">
        <v>82</v>
      </c>
      <c r="E66" s="17"/>
      <c r="F66" s="17"/>
      <c r="G66" s="17"/>
      <c r="H66" s="17"/>
      <c r="I66" s="17"/>
      <c r="J66" s="18"/>
      <c r="K66" s="9"/>
    </row>
    <row r="67" spans="1:11" x14ac:dyDescent="0.35">
      <c r="A67" s="16"/>
      <c r="B67" s="12">
        <v>90</v>
      </c>
      <c r="C67" s="13" t="s">
        <v>28</v>
      </c>
      <c r="D67" s="13" t="s">
        <v>167</v>
      </c>
      <c r="E67" s="17"/>
      <c r="F67" s="17"/>
      <c r="G67" s="17"/>
      <c r="H67" s="17"/>
      <c r="I67" s="17"/>
      <c r="J67" s="18"/>
      <c r="K67" s="9"/>
    </row>
    <row r="68" spans="1:11" x14ac:dyDescent="0.35">
      <c r="A68" s="16"/>
      <c r="B68" s="12">
        <v>100</v>
      </c>
      <c r="C68" s="13" t="s">
        <v>126</v>
      </c>
      <c r="D68" s="13" t="s">
        <v>82</v>
      </c>
      <c r="E68" s="17"/>
      <c r="F68" s="17"/>
      <c r="G68" s="17"/>
      <c r="H68" s="17"/>
      <c r="I68" s="17"/>
      <c r="J68" s="18"/>
      <c r="K68" s="9"/>
    </row>
    <row r="69" spans="1:11" x14ac:dyDescent="0.35">
      <c r="A69" s="16" t="s">
        <v>83</v>
      </c>
      <c r="B69" s="12">
        <v>10</v>
      </c>
      <c r="C69" s="13" t="s">
        <v>93</v>
      </c>
      <c r="D69" s="13" t="s">
        <v>168</v>
      </c>
      <c r="E69" s="17"/>
      <c r="F69" s="17"/>
      <c r="G69" s="17"/>
      <c r="H69" s="17"/>
      <c r="I69" s="17"/>
      <c r="J69" s="18"/>
      <c r="K69" s="9"/>
    </row>
    <row r="70" spans="1:11" x14ac:dyDescent="0.35">
      <c r="A70" s="16"/>
      <c r="B70" s="12">
        <v>20</v>
      </c>
      <c r="C70" s="13" t="s">
        <v>93</v>
      </c>
      <c r="D70" s="13" t="s">
        <v>169</v>
      </c>
      <c r="E70" s="17"/>
      <c r="F70" s="17"/>
      <c r="G70" s="17"/>
      <c r="H70" s="17"/>
      <c r="I70" s="17"/>
      <c r="J70" s="18"/>
      <c r="K70" s="9"/>
    </row>
    <row r="71" spans="1:11" x14ac:dyDescent="0.35">
      <c r="A71" s="16"/>
      <c r="B71" s="12">
        <v>30</v>
      </c>
      <c r="C71" s="13" t="s">
        <v>104</v>
      </c>
      <c r="D71" s="13" t="s">
        <v>170</v>
      </c>
      <c r="E71" s="17"/>
      <c r="F71" s="17"/>
      <c r="G71" s="17"/>
      <c r="H71" s="17"/>
      <c r="I71" s="17"/>
      <c r="J71" s="18"/>
      <c r="K71" s="9"/>
    </row>
    <row r="72" spans="1:11" x14ac:dyDescent="0.35">
      <c r="A72" s="16"/>
      <c r="B72" s="12">
        <v>40</v>
      </c>
      <c r="C72" s="13" t="s">
        <v>151</v>
      </c>
      <c r="D72" s="13" t="s">
        <v>171</v>
      </c>
      <c r="E72" s="17"/>
      <c r="F72" s="17"/>
      <c r="G72" s="17"/>
      <c r="H72" s="17"/>
      <c r="I72" s="17"/>
      <c r="J72" s="18"/>
      <c r="K72" s="9"/>
    </row>
    <row r="73" spans="1:11" x14ac:dyDescent="0.35">
      <c r="A73" s="16"/>
      <c r="B73" s="12">
        <v>50</v>
      </c>
      <c r="C73" s="13" t="s">
        <v>151</v>
      </c>
      <c r="D73" s="13" t="s">
        <v>82</v>
      </c>
      <c r="E73" s="17"/>
      <c r="F73" s="17"/>
      <c r="G73" s="17"/>
      <c r="H73" s="17"/>
      <c r="I73" s="17"/>
      <c r="J73" s="18"/>
      <c r="K73" s="9"/>
    </row>
    <row r="74" spans="1:11" x14ac:dyDescent="0.35">
      <c r="A74" s="16"/>
      <c r="B74" s="12">
        <v>60</v>
      </c>
      <c r="C74" s="13" t="s">
        <v>124</v>
      </c>
      <c r="D74" s="13" t="s">
        <v>172</v>
      </c>
      <c r="E74" s="17"/>
      <c r="F74" s="17"/>
      <c r="G74" s="17"/>
      <c r="H74" s="17"/>
      <c r="I74" s="17"/>
      <c r="J74" s="18"/>
      <c r="K74" s="9"/>
    </row>
    <row r="75" spans="1:11" x14ac:dyDescent="0.35">
      <c r="A75" s="16"/>
      <c r="B75" s="12">
        <v>70</v>
      </c>
      <c r="C75" s="13" t="s">
        <v>173</v>
      </c>
      <c r="D75" s="13" t="s">
        <v>174</v>
      </c>
      <c r="E75" s="17"/>
      <c r="F75" s="17"/>
      <c r="G75" s="17"/>
      <c r="H75" s="17"/>
      <c r="I75" s="17"/>
      <c r="J75" s="18"/>
      <c r="K75" s="9"/>
    </row>
    <row r="76" spans="1:11" x14ac:dyDescent="0.35">
      <c r="A76" s="16"/>
      <c r="B76" s="12">
        <v>80</v>
      </c>
      <c r="C76" s="13" t="s">
        <v>133</v>
      </c>
      <c r="D76" s="13" t="s">
        <v>175</v>
      </c>
      <c r="E76" s="17"/>
      <c r="F76" s="17"/>
      <c r="G76" s="17"/>
      <c r="H76" s="17"/>
      <c r="I76" s="17"/>
      <c r="J76" s="18"/>
      <c r="K76" s="9"/>
    </row>
    <row r="77" spans="1:11" x14ac:dyDescent="0.35">
      <c r="A77" s="16"/>
      <c r="B77" s="12">
        <v>90</v>
      </c>
      <c r="C77" s="13" t="s">
        <v>133</v>
      </c>
      <c r="D77" s="13" t="s">
        <v>149</v>
      </c>
      <c r="E77" s="17"/>
      <c r="F77" s="17"/>
      <c r="G77" s="17"/>
      <c r="H77" s="17"/>
      <c r="I77" s="17"/>
      <c r="J77" s="18"/>
      <c r="K77" s="9"/>
    </row>
    <row r="78" spans="1:11" x14ac:dyDescent="0.35">
      <c r="A78" s="16"/>
      <c r="B78" s="12">
        <v>100</v>
      </c>
      <c r="C78" s="13" t="s">
        <v>133</v>
      </c>
      <c r="D78" s="13" t="s">
        <v>176</v>
      </c>
      <c r="E78" s="17"/>
      <c r="F78" s="17"/>
      <c r="G78" s="17"/>
      <c r="H78" s="17"/>
      <c r="I78" s="17"/>
      <c r="J78" s="18"/>
      <c r="K78" s="9"/>
    </row>
    <row r="79" spans="1:11" x14ac:dyDescent="0.35">
      <c r="A79" s="16"/>
      <c r="B79" s="12">
        <v>110</v>
      </c>
      <c r="C79" s="13" t="s">
        <v>133</v>
      </c>
      <c r="D79" s="13" t="s">
        <v>82</v>
      </c>
      <c r="E79" s="17"/>
      <c r="F79" s="17"/>
      <c r="G79" s="17"/>
      <c r="H79" s="17"/>
      <c r="I79" s="17"/>
      <c r="J79" s="18"/>
      <c r="K79" s="9"/>
    </row>
    <row r="80" spans="1:11" x14ac:dyDescent="0.35">
      <c r="A80" s="16"/>
      <c r="B80" s="12">
        <v>120</v>
      </c>
      <c r="C80" s="13" t="s">
        <v>177</v>
      </c>
      <c r="D80" s="13" t="s">
        <v>178</v>
      </c>
      <c r="E80" s="17"/>
      <c r="F80" s="17"/>
      <c r="G80" s="17"/>
      <c r="H80" s="17"/>
      <c r="I80" s="17"/>
      <c r="J80" s="18"/>
      <c r="K80" s="9"/>
    </row>
    <row r="81" spans="1:11" x14ac:dyDescent="0.35">
      <c r="A81" s="16"/>
      <c r="B81" s="12">
        <v>130</v>
      </c>
      <c r="C81" s="13" t="s">
        <v>28</v>
      </c>
      <c r="D81" s="13" t="s">
        <v>179</v>
      </c>
      <c r="E81" s="17"/>
      <c r="F81" s="17"/>
      <c r="G81" s="17"/>
      <c r="H81" s="17"/>
      <c r="I81" s="17"/>
      <c r="J81" s="18"/>
      <c r="K81" s="9"/>
    </row>
    <row r="82" spans="1:11" x14ac:dyDescent="0.35">
      <c r="A82" s="16"/>
      <c r="B82" s="12">
        <v>140</v>
      </c>
      <c r="C82" s="13" t="s">
        <v>28</v>
      </c>
      <c r="D82" s="13" t="s">
        <v>180</v>
      </c>
      <c r="E82" s="17"/>
      <c r="F82" s="17"/>
      <c r="G82" s="17"/>
      <c r="H82" s="17"/>
      <c r="I82" s="17"/>
      <c r="J82" s="18"/>
      <c r="K82" s="9"/>
    </row>
    <row r="83" spans="1:11" x14ac:dyDescent="0.35">
      <c r="A83" s="16"/>
      <c r="B83" s="12">
        <v>150</v>
      </c>
      <c r="C83" s="13" t="s">
        <v>28</v>
      </c>
      <c r="D83" s="13" t="s">
        <v>181</v>
      </c>
      <c r="E83" s="17"/>
      <c r="F83" s="17"/>
      <c r="G83" s="17"/>
      <c r="H83" s="17"/>
      <c r="I83" s="17"/>
      <c r="J83" s="18"/>
      <c r="K83" s="9"/>
    </row>
    <row r="84" spans="1:11" x14ac:dyDescent="0.35">
      <c r="A84" s="16"/>
      <c r="B84" s="12">
        <v>160</v>
      </c>
      <c r="C84" s="13" t="s">
        <v>28</v>
      </c>
      <c r="D84" s="13" t="s">
        <v>182</v>
      </c>
      <c r="E84" s="17"/>
      <c r="F84" s="17"/>
      <c r="G84" s="17"/>
      <c r="H84" s="17"/>
      <c r="I84" s="17"/>
      <c r="J84" s="18"/>
      <c r="K84" s="9"/>
    </row>
    <row r="85" spans="1:11" x14ac:dyDescent="0.35">
      <c r="A85" s="16"/>
      <c r="B85" s="12">
        <v>170</v>
      </c>
      <c r="C85" s="13" t="s">
        <v>183</v>
      </c>
      <c r="D85" s="13" t="s">
        <v>184</v>
      </c>
      <c r="E85" s="17"/>
      <c r="F85" s="17"/>
      <c r="G85" s="17"/>
      <c r="H85" s="17"/>
      <c r="I85" s="17"/>
      <c r="J85" s="18"/>
      <c r="K85" s="9"/>
    </row>
    <row r="86" spans="1:11" x14ac:dyDescent="0.35">
      <c r="A86" s="19"/>
      <c r="B86" s="20">
        <v>180</v>
      </c>
      <c r="C86" s="21" t="s">
        <v>101</v>
      </c>
      <c r="D86" s="21" t="s">
        <v>185</v>
      </c>
      <c r="E86" s="22"/>
      <c r="F86" s="22"/>
      <c r="G86" s="22"/>
      <c r="H86" s="22"/>
      <c r="I86" s="22"/>
      <c r="J86" s="23"/>
      <c r="K86" s="9"/>
    </row>
    <row r="90" spans="1:11" x14ac:dyDescent="0.35">
      <c r="A90" s="9"/>
      <c r="B90" s="9"/>
      <c r="C90" s="9"/>
      <c r="D90" s="9"/>
      <c r="E90" s="9"/>
    </row>
    <row r="91" spans="1:11" x14ac:dyDescent="0.35">
      <c r="A91" s="9"/>
      <c r="B91" s="9"/>
      <c r="C91" s="9"/>
      <c r="D91" s="9"/>
      <c r="E91" s="9"/>
    </row>
    <row r="92" spans="1:11" x14ac:dyDescent="0.35">
      <c r="A92" s="9"/>
      <c r="B92" s="29"/>
      <c r="C92" s="29"/>
      <c r="D92" s="29"/>
      <c r="E92" s="9"/>
    </row>
    <row r="93" spans="1:11" x14ac:dyDescent="0.35">
      <c r="A93" s="9"/>
      <c r="B93" s="30"/>
      <c r="C93" s="31"/>
      <c r="D93" s="31"/>
      <c r="E93" s="9"/>
    </row>
    <row r="94" spans="1:11" x14ac:dyDescent="0.35">
      <c r="A94" s="9"/>
      <c r="B94" s="32"/>
      <c r="C94" s="9"/>
      <c r="D94" s="9"/>
      <c r="E94" s="9"/>
    </row>
    <row r="95" spans="1:11" x14ac:dyDescent="0.35">
      <c r="A95" s="9"/>
      <c r="B95" s="30"/>
      <c r="C95" s="31"/>
      <c r="D95" s="31"/>
      <c r="E95" s="9"/>
    </row>
    <row r="96" spans="1:11" x14ac:dyDescent="0.35">
      <c r="A96" s="9"/>
      <c r="B96" s="32"/>
      <c r="C96" s="9"/>
      <c r="D96" s="9"/>
      <c r="E96" s="9"/>
    </row>
    <row r="97" spans="1:5" x14ac:dyDescent="0.35">
      <c r="A97" s="9"/>
      <c r="B97" s="30"/>
      <c r="C97" s="31"/>
      <c r="D97" s="31"/>
      <c r="E97" s="9"/>
    </row>
    <row r="98" spans="1:5" x14ac:dyDescent="0.35">
      <c r="A98" s="9"/>
      <c r="B98" s="32"/>
      <c r="C98" s="9"/>
      <c r="D98" s="9"/>
      <c r="E98" s="9"/>
    </row>
    <row r="99" spans="1:5" x14ac:dyDescent="0.35">
      <c r="A99" s="9"/>
      <c r="B99" s="30"/>
      <c r="C99" s="31"/>
      <c r="D99" s="31"/>
      <c r="E99" s="9"/>
    </row>
    <row r="100" spans="1:5" x14ac:dyDescent="0.35">
      <c r="A100" s="9"/>
      <c r="B100" s="9"/>
      <c r="C100" s="9"/>
      <c r="D100" s="9"/>
      <c r="E100" s="9"/>
    </row>
    <row r="101" spans="1:5" x14ac:dyDescent="0.35">
      <c r="A101" s="9"/>
      <c r="B101" s="9"/>
      <c r="C101" s="9"/>
      <c r="D101" s="9"/>
      <c r="E101" s="9"/>
    </row>
  </sheetData>
  <mergeCells count="2">
    <mergeCell ref="B1:J2"/>
    <mergeCell ref="B4:J4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DDD5-35C6-42F6-B02F-6A63522BEC6E}">
  <dimension ref="A1:O31"/>
  <sheetViews>
    <sheetView zoomScaleNormal="100" workbookViewId="0">
      <selection activeCell="L27" sqref="L27"/>
    </sheetView>
  </sheetViews>
  <sheetFormatPr baseColWidth="10" defaultRowHeight="14.5" x14ac:dyDescent="0.35"/>
  <cols>
    <col min="1" max="1" width="15.453125" bestFit="1" customWidth="1"/>
    <col min="2" max="2" width="13.36328125" bestFit="1" customWidth="1"/>
    <col min="3" max="3" width="29.81640625" bestFit="1" customWidth="1"/>
    <col min="4" max="4" width="31.36328125" bestFit="1" customWidth="1"/>
    <col min="5" max="5" width="22.08984375" bestFit="1" customWidth="1"/>
    <col min="6" max="6" width="8.36328125" bestFit="1" customWidth="1"/>
    <col min="7" max="7" width="10.1796875" bestFit="1" customWidth="1"/>
    <col min="8" max="8" width="16" bestFit="1" customWidth="1"/>
    <col min="9" max="9" width="14" bestFit="1" customWidth="1"/>
    <col min="10" max="10" width="13.54296875" bestFit="1" customWidth="1"/>
    <col min="11" max="11" width="60.6328125" customWidth="1"/>
    <col min="12" max="12" width="54.36328125" customWidth="1"/>
    <col min="13" max="13" width="14.7265625" bestFit="1" customWidth="1"/>
    <col min="14" max="14" width="15.6328125" bestFit="1" customWidth="1"/>
    <col min="15" max="15" width="9.90625" bestFit="1" customWidth="1"/>
  </cols>
  <sheetData>
    <row r="1" spans="1:15" ht="21" x14ac:dyDescent="0.35">
      <c r="A1" s="55" t="s">
        <v>253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x14ac:dyDescent="0.35">
      <c r="A2" s="35" t="s">
        <v>46</v>
      </c>
      <c r="B2" s="35" t="s">
        <v>254</v>
      </c>
      <c r="C2" s="35" t="s">
        <v>255</v>
      </c>
      <c r="D2" s="35" t="s">
        <v>256</v>
      </c>
      <c r="E2" s="35" t="s">
        <v>257</v>
      </c>
      <c r="F2" s="35" t="s">
        <v>258</v>
      </c>
      <c r="G2" s="35" t="s">
        <v>259</v>
      </c>
      <c r="H2" s="35" t="s">
        <v>260</v>
      </c>
      <c r="I2" s="35" t="s">
        <v>261</v>
      </c>
      <c r="J2" s="35" t="s">
        <v>262</v>
      </c>
      <c r="K2" s="35" t="s">
        <v>263</v>
      </c>
      <c r="L2" s="35" t="s">
        <v>264</v>
      </c>
      <c r="M2" s="35" t="s">
        <v>265</v>
      </c>
      <c r="N2" s="35" t="s">
        <v>266</v>
      </c>
      <c r="O2" s="35" t="s">
        <v>267</v>
      </c>
    </row>
    <row r="3" spans="1:15" ht="43.5" x14ac:dyDescent="0.35">
      <c r="A3" s="36" t="s">
        <v>0</v>
      </c>
      <c r="B3" s="36" t="s">
        <v>0</v>
      </c>
      <c r="C3" s="37" t="s">
        <v>268</v>
      </c>
      <c r="D3" s="37" t="s">
        <v>269</v>
      </c>
      <c r="E3" s="37" t="s">
        <v>270</v>
      </c>
      <c r="F3" s="36">
        <v>6</v>
      </c>
      <c r="G3" s="36" t="s">
        <v>271</v>
      </c>
      <c r="H3" s="38">
        <v>600</v>
      </c>
      <c r="I3" s="36" t="s">
        <v>272</v>
      </c>
      <c r="J3" s="36" t="s">
        <v>273</v>
      </c>
      <c r="K3" s="45" t="s">
        <v>274</v>
      </c>
      <c r="L3" s="47" t="s">
        <v>275</v>
      </c>
      <c r="M3" s="36" t="s">
        <v>276</v>
      </c>
      <c r="N3" s="36" t="s">
        <v>277</v>
      </c>
      <c r="O3" s="36" t="s">
        <v>278</v>
      </c>
    </row>
    <row r="4" spans="1:15" ht="130.5" x14ac:dyDescent="0.35">
      <c r="A4" s="39" t="s">
        <v>279</v>
      </c>
      <c r="B4" s="39" t="s">
        <v>0</v>
      </c>
      <c r="C4" s="40" t="s">
        <v>280</v>
      </c>
      <c r="D4" s="40" t="s">
        <v>281</v>
      </c>
      <c r="E4" s="40" t="s">
        <v>282</v>
      </c>
      <c r="F4" s="39">
        <v>1</v>
      </c>
      <c r="G4" s="39" t="s">
        <v>283</v>
      </c>
      <c r="H4" s="41">
        <v>472</v>
      </c>
      <c r="I4" s="39" t="s">
        <v>284</v>
      </c>
      <c r="J4" s="39" t="s">
        <v>273</v>
      </c>
      <c r="K4" s="46" t="s">
        <v>285</v>
      </c>
      <c r="L4" s="48" t="s">
        <v>286</v>
      </c>
      <c r="M4" s="39" t="s">
        <v>276</v>
      </c>
      <c r="N4" s="39" t="s">
        <v>287</v>
      </c>
      <c r="O4" s="39" t="s">
        <v>278</v>
      </c>
    </row>
    <row r="5" spans="1:15" ht="203" x14ac:dyDescent="0.35">
      <c r="A5" s="36" t="s">
        <v>288</v>
      </c>
      <c r="B5" s="36" t="s">
        <v>0</v>
      </c>
      <c r="C5" s="37" t="s">
        <v>289</v>
      </c>
      <c r="D5" s="37" t="s">
        <v>290</v>
      </c>
      <c r="E5" s="37" t="s">
        <v>3</v>
      </c>
      <c r="F5" s="36">
        <v>4</v>
      </c>
      <c r="G5" s="36" t="s">
        <v>291</v>
      </c>
      <c r="H5" s="38">
        <v>2575.6</v>
      </c>
      <c r="I5" s="36" t="s">
        <v>292</v>
      </c>
      <c r="J5" s="36" t="s">
        <v>293</v>
      </c>
      <c r="K5" s="45" t="s">
        <v>294</v>
      </c>
      <c r="L5" s="47" t="s">
        <v>295</v>
      </c>
      <c r="M5" s="36" t="s">
        <v>276</v>
      </c>
      <c r="N5" s="36" t="s">
        <v>287</v>
      </c>
      <c r="O5" s="36" t="s">
        <v>278</v>
      </c>
    </row>
    <row r="6" spans="1:15" x14ac:dyDescent="0.35">
      <c r="A6" s="39" t="s">
        <v>296</v>
      </c>
      <c r="B6" s="39" t="s">
        <v>0</v>
      </c>
      <c r="C6" s="40" t="s">
        <v>1</v>
      </c>
      <c r="D6" s="40" t="s">
        <v>45</v>
      </c>
      <c r="E6" s="40" t="s">
        <v>297</v>
      </c>
      <c r="F6" s="39">
        <v>1</v>
      </c>
      <c r="G6" s="39" t="s">
        <v>291</v>
      </c>
      <c r="H6" s="41">
        <v>1017.45</v>
      </c>
      <c r="I6" s="39" t="s">
        <v>298</v>
      </c>
      <c r="J6" s="39" t="s">
        <v>299</v>
      </c>
      <c r="K6" s="46" t="s">
        <v>300</v>
      </c>
      <c r="L6" s="48" t="s">
        <v>301</v>
      </c>
      <c r="M6" s="39" t="s">
        <v>276</v>
      </c>
      <c r="N6" s="39" t="s">
        <v>287</v>
      </c>
      <c r="O6" s="39" t="s">
        <v>278</v>
      </c>
    </row>
    <row r="7" spans="1:15" x14ac:dyDescent="0.35">
      <c r="A7" s="36" t="s">
        <v>302</v>
      </c>
      <c r="B7" s="36" t="s">
        <v>0</v>
      </c>
      <c r="C7" s="37" t="s">
        <v>2</v>
      </c>
      <c r="D7" s="37" t="s">
        <v>303</v>
      </c>
      <c r="E7" s="37" t="s">
        <v>304</v>
      </c>
      <c r="F7" s="36">
        <v>2</v>
      </c>
      <c r="G7" s="36" t="s">
        <v>291</v>
      </c>
      <c r="H7" s="38">
        <v>200</v>
      </c>
      <c r="I7" s="36" t="s">
        <v>305</v>
      </c>
      <c r="J7" s="36" t="s">
        <v>293</v>
      </c>
      <c r="K7" s="45" t="s">
        <v>306</v>
      </c>
      <c r="L7" s="47" t="s">
        <v>307</v>
      </c>
      <c r="M7" s="36" t="s">
        <v>276</v>
      </c>
      <c r="N7" s="36" t="s">
        <v>287</v>
      </c>
      <c r="O7" s="36" t="s">
        <v>278</v>
      </c>
    </row>
    <row r="8" spans="1:15" ht="29" x14ac:dyDescent="0.35">
      <c r="A8" s="39" t="s">
        <v>308</v>
      </c>
      <c r="B8" s="39" t="s">
        <v>0</v>
      </c>
      <c r="C8" s="40" t="s">
        <v>309</v>
      </c>
      <c r="D8" s="40" t="s">
        <v>310</v>
      </c>
      <c r="E8" s="40" t="s">
        <v>311</v>
      </c>
      <c r="F8" s="39">
        <v>1</v>
      </c>
      <c r="G8" s="39" t="s">
        <v>291</v>
      </c>
      <c r="H8" s="41">
        <v>8060</v>
      </c>
      <c r="I8" s="39" t="s">
        <v>312</v>
      </c>
      <c r="J8" s="39" t="s">
        <v>273</v>
      </c>
      <c r="K8" s="46" t="s">
        <v>313</v>
      </c>
      <c r="L8" s="48" t="s">
        <v>314</v>
      </c>
      <c r="M8" s="39" t="s">
        <v>276</v>
      </c>
      <c r="N8" s="39" t="s">
        <v>277</v>
      </c>
      <c r="O8" s="39" t="s">
        <v>278</v>
      </c>
    </row>
    <row r="9" spans="1:15" ht="72.5" x14ac:dyDescent="0.35">
      <c r="A9" s="36" t="s">
        <v>315</v>
      </c>
      <c r="B9" s="36" t="s">
        <v>0</v>
      </c>
      <c r="C9" s="37" t="s">
        <v>316</v>
      </c>
      <c r="D9" s="37" t="s">
        <v>317</v>
      </c>
      <c r="E9" s="37" t="s">
        <v>318</v>
      </c>
      <c r="F9" s="36">
        <v>1</v>
      </c>
      <c r="G9" s="36" t="s">
        <v>291</v>
      </c>
      <c r="H9" s="38">
        <v>1525.83</v>
      </c>
      <c r="I9" s="36" t="s">
        <v>319</v>
      </c>
      <c r="J9" s="36" t="s">
        <v>293</v>
      </c>
      <c r="K9" s="45" t="s">
        <v>320</v>
      </c>
      <c r="L9" s="47" t="s">
        <v>321</v>
      </c>
      <c r="M9" s="36" t="s">
        <v>276</v>
      </c>
      <c r="N9" s="36" t="s">
        <v>287</v>
      </c>
      <c r="O9" s="36" t="s">
        <v>278</v>
      </c>
    </row>
    <row r="10" spans="1:15" ht="130.5" x14ac:dyDescent="0.35">
      <c r="A10" s="39" t="s">
        <v>322</v>
      </c>
      <c r="B10" s="39" t="s">
        <v>0</v>
      </c>
      <c r="C10" s="40" t="s">
        <v>323</v>
      </c>
      <c r="D10" s="40" t="s">
        <v>281</v>
      </c>
      <c r="E10" s="40" t="s">
        <v>4</v>
      </c>
      <c r="F10" s="39">
        <v>1</v>
      </c>
      <c r="G10" s="39" t="s">
        <v>291</v>
      </c>
      <c r="H10" s="41">
        <v>1222</v>
      </c>
      <c r="I10" s="39" t="s">
        <v>284</v>
      </c>
      <c r="J10" s="39" t="s">
        <v>273</v>
      </c>
      <c r="K10" s="46" t="s">
        <v>324</v>
      </c>
      <c r="L10" s="48" t="s">
        <v>325</v>
      </c>
      <c r="M10" s="39" t="s">
        <v>276</v>
      </c>
      <c r="N10" s="39" t="s">
        <v>277</v>
      </c>
      <c r="O10" s="39" t="s">
        <v>278</v>
      </c>
    </row>
    <row r="11" spans="1:15" ht="43.5" x14ac:dyDescent="0.35">
      <c r="A11" s="36" t="s">
        <v>326</v>
      </c>
      <c r="B11" s="36" t="s">
        <v>0</v>
      </c>
      <c r="C11" s="37" t="s">
        <v>327</v>
      </c>
      <c r="D11" s="37" t="s">
        <v>328</v>
      </c>
      <c r="E11" s="37" t="s">
        <v>329</v>
      </c>
      <c r="F11" s="36">
        <v>2</v>
      </c>
      <c r="G11" s="36" t="s">
        <v>291</v>
      </c>
      <c r="H11" s="38">
        <v>12960</v>
      </c>
      <c r="I11" s="36" t="s">
        <v>330</v>
      </c>
      <c r="J11" s="36" t="s">
        <v>273</v>
      </c>
      <c r="K11" s="45" t="s">
        <v>331</v>
      </c>
      <c r="L11" s="47" t="s">
        <v>332</v>
      </c>
      <c r="M11" s="36" t="s">
        <v>276</v>
      </c>
      <c r="N11" s="36" t="s">
        <v>277</v>
      </c>
      <c r="O11" s="36" t="s">
        <v>278</v>
      </c>
    </row>
    <row r="12" spans="1:15" x14ac:dyDescent="0.35">
      <c r="A12" s="39" t="s">
        <v>333</v>
      </c>
      <c r="B12" s="39" t="s">
        <v>0</v>
      </c>
      <c r="C12" s="40" t="s">
        <v>334</v>
      </c>
      <c r="D12" s="40" t="s">
        <v>335</v>
      </c>
      <c r="E12" s="40" t="s">
        <v>336</v>
      </c>
      <c r="F12" s="39">
        <v>10</v>
      </c>
      <c r="G12" s="39" t="s">
        <v>291</v>
      </c>
      <c r="H12" s="41">
        <v>20</v>
      </c>
      <c r="I12" s="39" t="s">
        <v>337</v>
      </c>
      <c r="J12" s="39" t="s">
        <v>273</v>
      </c>
      <c r="K12" s="46" t="s">
        <v>338</v>
      </c>
      <c r="L12" s="48" t="s">
        <v>339</v>
      </c>
      <c r="M12" s="39" t="s">
        <v>276</v>
      </c>
      <c r="N12" s="39" t="s">
        <v>277</v>
      </c>
      <c r="O12" s="39" t="s">
        <v>278</v>
      </c>
    </row>
    <row r="13" spans="1:15" x14ac:dyDescent="0.35">
      <c r="A13" s="36" t="s">
        <v>340</v>
      </c>
      <c r="B13" s="36" t="s">
        <v>0</v>
      </c>
      <c r="C13" s="37" t="s">
        <v>341</v>
      </c>
      <c r="D13" s="37" t="s">
        <v>335</v>
      </c>
      <c r="E13" s="37" t="s">
        <v>342</v>
      </c>
      <c r="F13" s="36">
        <v>10</v>
      </c>
      <c r="G13" s="36" t="s">
        <v>291</v>
      </c>
      <c r="H13" s="38">
        <v>80</v>
      </c>
      <c r="I13" s="36" t="s">
        <v>337</v>
      </c>
      <c r="J13" s="36" t="s">
        <v>273</v>
      </c>
      <c r="K13" s="45" t="s">
        <v>338</v>
      </c>
      <c r="L13" s="47" t="s">
        <v>343</v>
      </c>
      <c r="M13" s="36" t="s">
        <v>276</v>
      </c>
      <c r="N13" s="36" t="s">
        <v>277</v>
      </c>
      <c r="O13" s="36" t="s">
        <v>278</v>
      </c>
    </row>
    <row r="14" spans="1:15" x14ac:dyDescent="0.35">
      <c r="A14" s="39" t="s">
        <v>344</v>
      </c>
      <c r="B14" s="39" t="s">
        <v>0</v>
      </c>
      <c r="C14" s="40" t="s">
        <v>345</v>
      </c>
      <c r="D14" s="40" t="s">
        <v>335</v>
      </c>
      <c r="E14" s="40" t="s">
        <v>346</v>
      </c>
      <c r="F14" s="39">
        <v>10</v>
      </c>
      <c r="G14" s="39" t="s">
        <v>291</v>
      </c>
      <c r="H14" s="41">
        <v>30</v>
      </c>
      <c r="I14" s="39" t="s">
        <v>337</v>
      </c>
      <c r="J14" s="39" t="s">
        <v>273</v>
      </c>
      <c r="K14" s="46" t="s">
        <v>338</v>
      </c>
      <c r="L14" s="48" t="s">
        <v>347</v>
      </c>
      <c r="M14" s="39" t="s">
        <v>276</v>
      </c>
      <c r="N14" s="39" t="s">
        <v>277</v>
      </c>
      <c r="O14" s="39" t="s">
        <v>278</v>
      </c>
    </row>
    <row r="15" spans="1:15" x14ac:dyDescent="0.35">
      <c r="A15" s="36" t="s">
        <v>348</v>
      </c>
      <c r="B15" s="36" t="s">
        <v>0</v>
      </c>
      <c r="C15" s="37" t="s">
        <v>349</v>
      </c>
      <c r="D15" s="37" t="s">
        <v>335</v>
      </c>
      <c r="E15" s="37" t="s">
        <v>350</v>
      </c>
      <c r="F15" s="36">
        <v>10</v>
      </c>
      <c r="G15" s="36" t="s">
        <v>291</v>
      </c>
      <c r="H15" s="38">
        <v>40</v>
      </c>
      <c r="I15" s="36" t="s">
        <v>337</v>
      </c>
      <c r="J15" s="36" t="s">
        <v>273</v>
      </c>
      <c r="K15" s="45" t="s">
        <v>338</v>
      </c>
      <c r="L15" s="47" t="s">
        <v>351</v>
      </c>
      <c r="M15" s="36" t="s">
        <v>276</v>
      </c>
      <c r="N15" s="36" t="s">
        <v>277</v>
      </c>
      <c r="O15" s="36" t="s">
        <v>278</v>
      </c>
    </row>
    <row r="16" spans="1:15" x14ac:dyDescent="0.35">
      <c r="A16" s="39" t="s">
        <v>352</v>
      </c>
      <c r="B16" s="39" t="s">
        <v>0</v>
      </c>
      <c r="C16" s="40" t="s">
        <v>353</v>
      </c>
      <c r="D16" s="40" t="s">
        <v>335</v>
      </c>
      <c r="E16" s="40" t="s">
        <v>354</v>
      </c>
      <c r="F16" s="39">
        <v>5</v>
      </c>
      <c r="G16" s="39" t="s">
        <v>355</v>
      </c>
      <c r="H16" s="41">
        <v>30</v>
      </c>
      <c r="I16" s="39" t="s">
        <v>337</v>
      </c>
      <c r="J16" s="39" t="s">
        <v>273</v>
      </c>
      <c r="K16" s="46" t="s">
        <v>338</v>
      </c>
      <c r="L16" s="48" t="s">
        <v>356</v>
      </c>
      <c r="M16" s="39" t="s">
        <v>276</v>
      </c>
      <c r="N16" s="39" t="s">
        <v>277</v>
      </c>
      <c r="O16" s="39" t="s">
        <v>278</v>
      </c>
    </row>
    <row r="17" spans="1:15" x14ac:dyDescent="0.35">
      <c r="A17" s="36" t="s">
        <v>357</v>
      </c>
      <c r="B17" s="36" t="s">
        <v>0</v>
      </c>
      <c r="C17" s="37" t="s">
        <v>358</v>
      </c>
      <c r="D17" s="37" t="s">
        <v>335</v>
      </c>
      <c r="E17" s="37" t="s">
        <v>359</v>
      </c>
      <c r="F17" s="36">
        <v>3</v>
      </c>
      <c r="G17" s="36" t="s">
        <v>355</v>
      </c>
      <c r="H17" s="38">
        <v>30</v>
      </c>
      <c r="I17" s="36" t="s">
        <v>272</v>
      </c>
      <c r="J17" s="36" t="s">
        <v>273</v>
      </c>
      <c r="K17" s="45" t="s">
        <v>338</v>
      </c>
      <c r="L17" s="47" t="s">
        <v>264</v>
      </c>
      <c r="M17" s="36" t="s">
        <v>276</v>
      </c>
      <c r="N17" s="36" t="s">
        <v>277</v>
      </c>
      <c r="O17" s="36" t="s">
        <v>278</v>
      </c>
    </row>
    <row r="18" spans="1:15" ht="29" x14ac:dyDescent="0.35">
      <c r="A18" s="39" t="s">
        <v>360</v>
      </c>
      <c r="B18" s="39" t="s">
        <v>0</v>
      </c>
      <c r="C18" s="40" t="s">
        <v>228</v>
      </c>
      <c r="D18" s="40" t="s">
        <v>290</v>
      </c>
      <c r="E18" s="40" t="s">
        <v>361</v>
      </c>
      <c r="F18" s="39">
        <v>1</v>
      </c>
      <c r="G18" s="39" t="s">
        <v>291</v>
      </c>
      <c r="H18" s="41">
        <v>1400</v>
      </c>
      <c r="I18" s="39" t="s">
        <v>362</v>
      </c>
      <c r="J18" s="39" t="s">
        <v>293</v>
      </c>
      <c r="K18" s="46" t="s">
        <v>363</v>
      </c>
      <c r="L18" s="48" t="s">
        <v>364</v>
      </c>
      <c r="M18" s="39" t="s">
        <v>276</v>
      </c>
      <c r="N18" s="39" t="s">
        <v>287</v>
      </c>
      <c r="O18" s="39" t="s">
        <v>278</v>
      </c>
    </row>
    <row r="19" spans="1:15" ht="130.5" x14ac:dyDescent="0.35">
      <c r="A19" s="36" t="s">
        <v>365</v>
      </c>
      <c r="B19" s="36" t="s">
        <v>0</v>
      </c>
      <c r="C19" s="37" t="s">
        <v>366</v>
      </c>
      <c r="D19" s="37" t="s">
        <v>281</v>
      </c>
      <c r="E19" s="37" t="s">
        <v>367</v>
      </c>
      <c r="F19" s="36">
        <v>5</v>
      </c>
      <c r="G19" s="36" t="s">
        <v>291</v>
      </c>
      <c r="H19" s="38">
        <v>825</v>
      </c>
      <c r="I19" s="36" t="s">
        <v>319</v>
      </c>
      <c r="J19" s="36" t="s">
        <v>293</v>
      </c>
      <c r="K19" s="45" t="s">
        <v>368</v>
      </c>
      <c r="L19" s="47" t="s">
        <v>369</v>
      </c>
      <c r="M19" s="36" t="s">
        <v>276</v>
      </c>
      <c r="N19" s="36" t="s">
        <v>370</v>
      </c>
      <c r="O19" s="36" t="s">
        <v>278</v>
      </c>
    </row>
    <row r="20" spans="1:15" ht="58" x14ac:dyDescent="0.35">
      <c r="A20" s="39" t="s">
        <v>371</v>
      </c>
      <c r="B20" s="39" t="s">
        <v>372</v>
      </c>
      <c r="C20" s="40" t="s">
        <v>5</v>
      </c>
      <c r="D20" s="40" t="s">
        <v>373</v>
      </c>
      <c r="E20" s="40" t="s">
        <v>374</v>
      </c>
      <c r="F20" s="39">
        <v>3</v>
      </c>
      <c r="G20" s="39" t="s">
        <v>291</v>
      </c>
      <c r="H20" s="41">
        <v>1706.7</v>
      </c>
      <c r="I20" s="39" t="s">
        <v>375</v>
      </c>
      <c r="J20" s="39" t="s">
        <v>293</v>
      </c>
      <c r="K20" s="46" t="s">
        <v>376</v>
      </c>
      <c r="L20" s="48" t="s">
        <v>377</v>
      </c>
      <c r="M20" s="39" t="s">
        <v>276</v>
      </c>
      <c r="N20" s="39" t="s">
        <v>287</v>
      </c>
      <c r="O20" s="39" t="s">
        <v>278</v>
      </c>
    </row>
    <row r="21" spans="1:15" ht="29" x14ac:dyDescent="0.35">
      <c r="A21" s="36" t="s">
        <v>378</v>
      </c>
      <c r="B21" s="36" t="s">
        <v>372</v>
      </c>
      <c r="C21" s="37" t="s">
        <v>379</v>
      </c>
      <c r="D21" s="37" t="s">
        <v>373</v>
      </c>
      <c r="E21" s="37" t="s">
        <v>380</v>
      </c>
      <c r="F21" s="36">
        <v>3</v>
      </c>
      <c r="G21" s="36" t="s">
        <v>291</v>
      </c>
      <c r="H21" s="38">
        <v>1450.2</v>
      </c>
      <c r="I21" s="36" t="s">
        <v>381</v>
      </c>
      <c r="J21" s="36" t="s">
        <v>293</v>
      </c>
      <c r="K21" s="45" t="s">
        <v>376</v>
      </c>
      <c r="L21" s="47" t="s">
        <v>382</v>
      </c>
      <c r="M21" s="36" t="s">
        <v>276</v>
      </c>
      <c r="N21" s="36" t="s">
        <v>287</v>
      </c>
      <c r="O21" s="36" t="s">
        <v>278</v>
      </c>
    </row>
    <row r="22" spans="1:15" ht="130.5" x14ac:dyDescent="0.35">
      <c r="A22" s="39" t="s">
        <v>383</v>
      </c>
      <c r="B22" s="39" t="s">
        <v>372</v>
      </c>
      <c r="C22" s="40" t="s">
        <v>280</v>
      </c>
      <c r="D22" s="40" t="s">
        <v>281</v>
      </c>
      <c r="E22" s="40" t="s">
        <v>282</v>
      </c>
      <c r="F22" s="39">
        <v>3</v>
      </c>
      <c r="G22" s="39" t="s">
        <v>283</v>
      </c>
      <c r="H22" s="41">
        <v>1260</v>
      </c>
      <c r="I22" s="39" t="s">
        <v>284</v>
      </c>
      <c r="J22" s="39" t="s">
        <v>273</v>
      </c>
      <c r="K22" s="46" t="s">
        <v>285</v>
      </c>
      <c r="L22" s="48" t="s">
        <v>286</v>
      </c>
      <c r="M22" s="39" t="s">
        <v>276</v>
      </c>
      <c r="N22" s="39" t="s">
        <v>287</v>
      </c>
      <c r="O22" s="39" t="s">
        <v>278</v>
      </c>
    </row>
    <row r="23" spans="1:15" ht="43.5" x14ac:dyDescent="0.35">
      <c r="A23" s="36" t="s">
        <v>384</v>
      </c>
      <c r="B23" s="36" t="s">
        <v>372</v>
      </c>
      <c r="C23" s="37" t="s">
        <v>6</v>
      </c>
      <c r="D23" s="37" t="s">
        <v>385</v>
      </c>
      <c r="E23" s="37" t="s">
        <v>386</v>
      </c>
      <c r="F23" s="36">
        <v>1</v>
      </c>
      <c r="G23" s="36" t="s">
        <v>291</v>
      </c>
      <c r="H23" s="38">
        <v>199</v>
      </c>
      <c r="I23" s="36" t="s">
        <v>337</v>
      </c>
      <c r="J23" s="36" t="s">
        <v>273</v>
      </c>
      <c r="K23" s="45" t="s">
        <v>387</v>
      </c>
      <c r="L23" s="47" t="s">
        <v>388</v>
      </c>
      <c r="M23" s="36" t="s">
        <v>276</v>
      </c>
      <c r="N23" s="36" t="s">
        <v>277</v>
      </c>
      <c r="O23" s="36" t="s">
        <v>278</v>
      </c>
    </row>
    <row r="24" spans="1:15" x14ac:dyDescent="0.35">
      <c r="A24" s="39" t="s">
        <v>389</v>
      </c>
      <c r="B24" s="39" t="s">
        <v>372</v>
      </c>
      <c r="C24" s="40" t="s">
        <v>353</v>
      </c>
      <c r="D24" s="40" t="s">
        <v>335</v>
      </c>
      <c r="E24" s="40" t="s">
        <v>354</v>
      </c>
      <c r="F24" s="39">
        <v>5</v>
      </c>
      <c r="G24" s="39" t="s">
        <v>355</v>
      </c>
      <c r="H24" s="41">
        <v>30</v>
      </c>
      <c r="I24" s="39" t="s">
        <v>337</v>
      </c>
      <c r="J24" s="39" t="s">
        <v>273</v>
      </c>
      <c r="K24" s="46" t="s">
        <v>338</v>
      </c>
      <c r="L24" s="48" t="s">
        <v>356</v>
      </c>
      <c r="M24" s="39" t="s">
        <v>276</v>
      </c>
      <c r="N24" s="39" t="s">
        <v>277</v>
      </c>
      <c r="O24" s="39" t="s">
        <v>278</v>
      </c>
    </row>
    <row r="25" spans="1:15" x14ac:dyDescent="0.35">
      <c r="A25" s="36" t="s">
        <v>390</v>
      </c>
      <c r="B25" s="36" t="s">
        <v>372</v>
      </c>
      <c r="C25" s="37" t="s">
        <v>358</v>
      </c>
      <c r="D25" s="37" t="s">
        <v>335</v>
      </c>
      <c r="E25" s="37" t="s">
        <v>359</v>
      </c>
      <c r="F25" s="36">
        <v>3</v>
      </c>
      <c r="G25" s="36" t="s">
        <v>355</v>
      </c>
      <c r="H25" s="38">
        <v>30</v>
      </c>
      <c r="I25" s="36" t="s">
        <v>272</v>
      </c>
      <c r="J25" s="36" t="s">
        <v>273</v>
      </c>
      <c r="K25" s="45" t="s">
        <v>391</v>
      </c>
      <c r="L25" s="47" t="s">
        <v>264</v>
      </c>
      <c r="M25" s="36" t="s">
        <v>276</v>
      </c>
      <c r="N25" s="36" t="s">
        <v>277</v>
      </c>
      <c r="O25" s="36" t="s">
        <v>278</v>
      </c>
    </row>
    <row r="26" spans="1:15" x14ac:dyDescent="0.35">
      <c r="A26" s="39" t="s">
        <v>392</v>
      </c>
      <c r="B26" s="39" t="s">
        <v>372</v>
      </c>
      <c r="C26" s="40" t="s">
        <v>393</v>
      </c>
      <c r="D26" s="40" t="s">
        <v>269</v>
      </c>
      <c r="E26" s="40" t="s">
        <v>394</v>
      </c>
      <c r="F26" s="39">
        <v>1</v>
      </c>
      <c r="G26" s="39" t="s">
        <v>283</v>
      </c>
      <c r="H26" s="41">
        <v>28</v>
      </c>
      <c r="I26" s="39" t="s">
        <v>272</v>
      </c>
      <c r="J26" s="39" t="s">
        <v>273</v>
      </c>
      <c r="K26" s="46" t="s">
        <v>274</v>
      </c>
      <c r="L26" s="48" t="s">
        <v>395</v>
      </c>
      <c r="M26" s="39" t="s">
        <v>276</v>
      </c>
      <c r="N26" s="39" t="s">
        <v>277</v>
      </c>
      <c r="O26" s="39" t="s">
        <v>278</v>
      </c>
    </row>
    <row r="27" spans="1:15" ht="29" x14ac:dyDescent="0.35">
      <c r="A27" s="36" t="s">
        <v>396</v>
      </c>
      <c r="B27" s="36" t="s">
        <v>372</v>
      </c>
      <c r="C27" s="37" t="s">
        <v>397</v>
      </c>
      <c r="D27" s="37" t="s">
        <v>398</v>
      </c>
      <c r="E27" s="37" t="s">
        <v>399</v>
      </c>
      <c r="F27" s="36">
        <v>4</v>
      </c>
      <c r="G27" s="36" t="s">
        <v>400</v>
      </c>
      <c r="H27" s="38">
        <v>2720.88</v>
      </c>
      <c r="I27" s="36" t="s">
        <v>272</v>
      </c>
      <c r="J27" s="36" t="s">
        <v>273</v>
      </c>
      <c r="K27" s="45" t="s">
        <v>401</v>
      </c>
      <c r="L27" s="47" t="s">
        <v>402</v>
      </c>
      <c r="M27" s="36" t="s">
        <v>276</v>
      </c>
      <c r="N27" s="36" t="s">
        <v>277</v>
      </c>
      <c r="O27" s="36" t="s">
        <v>278</v>
      </c>
    </row>
    <row r="28" spans="1:15" ht="29" x14ac:dyDescent="0.35">
      <c r="A28" s="39" t="s">
        <v>403</v>
      </c>
      <c r="B28" s="39" t="s">
        <v>372</v>
      </c>
      <c r="C28" s="40" t="s">
        <v>404</v>
      </c>
      <c r="D28" s="40" t="s">
        <v>405</v>
      </c>
      <c r="E28" s="40" t="s">
        <v>406</v>
      </c>
      <c r="F28" s="39">
        <v>40</v>
      </c>
      <c r="G28" s="39" t="s">
        <v>291</v>
      </c>
      <c r="H28" s="41">
        <v>200</v>
      </c>
      <c r="I28" s="39" t="s">
        <v>272</v>
      </c>
      <c r="J28" s="39" t="s">
        <v>273</v>
      </c>
      <c r="K28" s="46" t="s">
        <v>407</v>
      </c>
      <c r="L28" s="48" t="s">
        <v>408</v>
      </c>
      <c r="M28" s="39" t="s">
        <v>276</v>
      </c>
      <c r="N28" s="39" t="s">
        <v>277</v>
      </c>
      <c r="O28" s="39" t="s">
        <v>278</v>
      </c>
    </row>
    <row r="29" spans="1:15" ht="174" x14ac:dyDescent="0.35">
      <c r="A29" s="36" t="s">
        <v>409</v>
      </c>
      <c r="B29" s="36" t="s">
        <v>372</v>
      </c>
      <c r="C29" s="37" t="s">
        <v>410</v>
      </c>
      <c r="D29" s="37" t="s">
        <v>281</v>
      </c>
      <c r="E29" s="37" t="s">
        <v>411</v>
      </c>
      <c r="F29" s="36">
        <v>1</v>
      </c>
      <c r="G29" s="36" t="s">
        <v>291</v>
      </c>
      <c r="H29" s="38">
        <v>2566</v>
      </c>
      <c r="I29" s="36" t="s">
        <v>412</v>
      </c>
      <c r="J29" s="36" t="s">
        <v>413</v>
      </c>
      <c r="K29" s="45" t="s">
        <v>414</v>
      </c>
      <c r="L29" s="47" t="s">
        <v>415</v>
      </c>
      <c r="M29" s="36" t="s">
        <v>276</v>
      </c>
      <c r="N29" s="36" t="s">
        <v>287</v>
      </c>
      <c r="O29" s="36" t="s">
        <v>278</v>
      </c>
    </row>
    <row r="30" spans="1:15" ht="15" thickBot="1" x14ac:dyDescent="0.4">
      <c r="A30" s="42"/>
      <c r="B30" s="42"/>
      <c r="C30" s="43" t="s">
        <v>416</v>
      </c>
      <c r="D30" s="42"/>
      <c r="E30" s="42"/>
      <c r="F30" s="42"/>
      <c r="G30" s="42"/>
      <c r="H30" s="44">
        <f>SUM(H3:H29)</f>
        <v>41278.659999999989</v>
      </c>
      <c r="I30" s="42"/>
      <c r="J30" s="42"/>
      <c r="K30" s="42"/>
      <c r="L30" s="42"/>
      <c r="M30" s="42"/>
      <c r="N30" s="42"/>
      <c r="O30" s="42"/>
    </row>
    <row r="31" spans="1:15" ht="15" thickTop="1" x14ac:dyDescent="0.35"/>
  </sheetData>
  <mergeCells count="1">
    <mergeCell ref="A1:O1"/>
  </mergeCells>
  <conditionalFormatting sqref="N3:N29">
    <cfRule type="cellIs" dxfId="2" priority="1" stopIfTrue="1" operator="equal">
      <formula>"Alto"</formula>
    </cfRule>
    <cfRule type="cellIs" dxfId="1" priority="2" stopIfTrue="1" operator="equal">
      <formula>"Medio"</formula>
    </cfRule>
    <cfRule type="cellIs" dxfId="0" priority="3" stopIfTrue="1" operator="equal">
      <formula>"Bajo"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57BA-1D3F-4199-9F64-05037BDE2522}">
  <dimension ref="A1:I49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F26" sqref="F26"/>
    </sheetView>
  </sheetViews>
  <sheetFormatPr baseColWidth="10" defaultColWidth="9.08984375" defaultRowHeight="14.5" x14ac:dyDescent="0.35"/>
  <cols>
    <col min="1" max="1" width="27.26953125" bestFit="1" customWidth="1"/>
    <col min="2" max="2" width="17.453125" bestFit="1" customWidth="1"/>
    <col min="3" max="3" width="25.08984375" bestFit="1" customWidth="1"/>
    <col min="4" max="4" width="16.54296875" bestFit="1" customWidth="1"/>
    <col min="5" max="5" width="56.1796875" bestFit="1" customWidth="1"/>
    <col min="6" max="6" width="27.08984375" bestFit="1" customWidth="1"/>
    <col min="7" max="8" width="14" bestFit="1" customWidth="1"/>
    <col min="9" max="9" width="12" customWidth="1"/>
  </cols>
  <sheetData>
    <row r="1" spans="1:9" x14ac:dyDescent="0.35">
      <c r="A1" s="49" t="s">
        <v>29</v>
      </c>
      <c r="B1" s="50"/>
      <c r="C1" s="50"/>
      <c r="D1" s="50"/>
      <c r="E1" s="50"/>
      <c r="F1" s="50"/>
      <c r="G1" s="50"/>
      <c r="H1" s="50"/>
      <c r="I1" s="50"/>
    </row>
    <row r="2" spans="1:9" x14ac:dyDescent="0.35">
      <c r="A2" s="50"/>
      <c r="B2" s="50"/>
      <c r="C2" s="50"/>
      <c r="D2" s="50"/>
      <c r="E2" s="50"/>
      <c r="F2" s="50"/>
      <c r="G2" s="50"/>
      <c r="H2" s="50"/>
      <c r="I2" s="50"/>
    </row>
    <row r="4" spans="1:9" ht="15.5" x14ac:dyDescent="0.35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  <c r="G4" s="7" t="s">
        <v>36</v>
      </c>
      <c r="H4" s="7" t="s">
        <v>37</v>
      </c>
      <c r="I4" s="7" t="s">
        <v>38</v>
      </c>
    </row>
    <row r="5" spans="1:9" x14ac:dyDescent="0.35">
      <c r="A5" s="6" t="s">
        <v>51</v>
      </c>
      <c r="B5" s="3" t="s">
        <v>42</v>
      </c>
      <c r="C5" s="2" t="s">
        <v>43</v>
      </c>
      <c r="D5" s="2" t="s">
        <v>49</v>
      </c>
      <c r="E5" s="2" t="s">
        <v>53</v>
      </c>
      <c r="F5" s="2" t="s">
        <v>3</v>
      </c>
      <c r="G5" s="3" t="s">
        <v>39</v>
      </c>
      <c r="H5" s="4">
        <v>786</v>
      </c>
      <c r="I5" s="3">
        <v>4</v>
      </c>
    </row>
    <row r="6" spans="1:9" x14ac:dyDescent="0.35">
      <c r="A6" s="6" t="s">
        <v>52</v>
      </c>
      <c r="B6" s="3" t="s">
        <v>42</v>
      </c>
      <c r="C6" s="2" t="s">
        <v>43</v>
      </c>
      <c r="D6" s="2" t="s">
        <v>50</v>
      </c>
      <c r="E6" s="2" t="s">
        <v>5</v>
      </c>
      <c r="F6" s="2"/>
      <c r="G6" s="3" t="s">
        <v>39</v>
      </c>
      <c r="H6" s="4">
        <v>586</v>
      </c>
      <c r="I6" s="3">
        <v>3</v>
      </c>
    </row>
    <row r="7" spans="1:9" x14ac:dyDescent="0.35">
      <c r="A7" s="6" t="s">
        <v>246</v>
      </c>
      <c r="B7" s="3" t="s">
        <v>44</v>
      </c>
      <c r="C7" s="2" t="s">
        <v>1</v>
      </c>
      <c r="D7" s="2" t="s">
        <v>245</v>
      </c>
      <c r="E7" s="2" t="s">
        <v>240</v>
      </c>
      <c r="F7" s="2" t="s">
        <v>45</v>
      </c>
      <c r="G7" s="3" t="s">
        <v>39</v>
      </c>
      <c r="H7" s="4">
        <v>600</v>
      </c>
      <c r="I7" s="3">
        <v>5</v>
      </c>
    </row>
    <row r="8" spans="1:9" x14ac:dyDescent="0.35">
      <c r="A8" s="6" t="s">
        <v>58</v>
      </c>
      <c r="B8" s="3" t="s">
        <v>42</v>
      </c>
      <c r="C8" s="2" t="s">
        <v>54</v>
      </c>
      <c r="D8" s="2" t="s">
        <v>55</v>
      </c>
      <c r="E8" s="2" t="s">
        <v>57</v>
      </c>
      <c r="F8" s="2" t="s">
        <v>65</v>
      </c>
      <c r="G8" s="3" t="s">
        <v>39</v>
      </c>
      <c r="H8" s="4">
        <v>472</v>
      </c>
      <c r="I8" s="3">
        <v>1</v>
      </c>
    </row>
    <row r="9" spans="1:9" x14ac:dyDescent="0.35">
      <c r="A9" s="6" t="s">
        <v>62</v>
      </c>
      <c r="B9" s="3" t="s">
        <v>42</v>
      </c>
      <c r="C9" s="2" t="s">
        <v>54</v>
      </c>
      <c r="D9" s="2" t="s">
        <v>56</v>
      </c>
      <c r="E9" s="2" t="s">
        <v>59</v>
      </c>
      <c r="F9" s="2" t="s">
        <v>66</v>
      </c>
      <c r="G9" s="3" t="s">
        <v>39</v>
      </c>
      <c r="H9" s="4">
        <v>500</v>
      </c>
      <c r="I9" s="3">
        <v>1</v>
      </c>
    </row>
    <row r="10" spans="1:9" x14ac:dyDescent="0.35">
      <c r="A10" s="6" t="s">
        <v>61</v>
      </c>
      <c r="B10" s="3" t="s">
        <v>40</v>
      </c>
      <c r="C10" s="2" t="s">
        <v>47</v>
      </c>
      <c r="D10" s="34" t="s">
        <v>225</v>
      </c>
      <c r="E10" s="2" t="s">
        <v>48</v>
      </c>
      <c r="F10" s="2" t="s">
        <v>67</v>
      </c>
      <c r="G10" s="3" t="s">
        <v>39</v>
      </c>
      <c r="H10" s="4">
        <v>6480</v>
      </c>
      <c r="I10" s="3">
        <v>2</v>
      </c>
    </row>
    <row r="11" spans="1:9" x14ac:dyDescent="0.35">
      <c r="A11" s="6" t="s">
        <v>63</v>
      </c>
      <c r="B11" s="3" t="s">
        <v>42</v>
      </c>
      <c r="C11" s="2" t="s">
        <v>41</v>
      </c>
      <c r="D11" s="2" t="s">
        <v>64</v>
      </c>
      <c r="E11" s="2" t="s">
        <v>60</v>
      </c>
      <c r="F11" s="2" t="s">
        <v>68</v>
      </c>
      <c r="G11" s="3" t="s">
        <v>39</v>
      </c>
      <c r="H11" s="4">
        <v>689.9</v>
      </c>
      <c r="I11" s="3">
        <v>1</v>
      </c>
    </row>
    <row r="12" spans="1:9" x14ac:dyDescent="0.35">
      <c r="A12" s="6" t="s">
        <v>195</v>
      </c>
      <c r="B12" s="3" t="s">
        <v>186</v>
      </c>
      <c r="C12" s="2" t="s">
        <v>228</v>
      </c>
      <c r="D12" s="2" t="s">
        <v>192</v>
      </c>
      <c r="E12" s="2" t="s">
        <v>191</v>
      </c>
      <c r="F12" s="2" t="s">
        <v>189</v>
      </c>
      <c r="G12" s="3" t="s">
        <v>39</v>
      </c>
      <c r="H12" s="4">
        <v>4027</v>
      </c>
      <c r="I12" s="3">
        <v>1</v>
      </c>
    </row>
    <row r="13" spans="1:9" x14ac:dyDescent="0.35">
      <c r="A13" s="6" t="s">
        <v>196</v>
      </c>
      <c r="B13" s="3" t="s">
        <v>186</v>
      </c>
      <c r="C13" s="2" t="s">
        <v>187</v>
      </c>
      <c r="D13" s="2" t="s">
        <v>193</v>
      </c>
      <c r="E13" s="2" t="s">
        <v>190</v>
      </c>
      <c r="F13" s="2" t="s">
        <v>198</v>
      </c>
      <c r="G13" s="3" t="s">
        <v>39</v>
      </c>
      <c r="H13" s="4">
        <v>65</v>
      </c>
      <c r="I13" s="3">
        <v>1</v>
      </c>
    </row>
    <row r="14" spans="1:9" x14ac:dyDescent="0.35">
      <c r="A14" s="6" t="s">
        <v>197</v>
      </c>
      <c r="B14" s="3" t="s">
        <v>186</v>
      </c>
      <c r="C14" s="2" t="s">
        <v>188</v>
      </c>
      <c r="D14" s="2" t="s">
        <v>194</v>
      </c>
      <c r="E14" s="2" t="s">
        <v>202</v>
      </c>
      <c r="F14" s="2" t="s">
        <v>199</v>
      </c>
      <c r="G14" s="3" t="s">
        <v>39</v>
      </c>
      <c r="H14" s="4">
        <v>1750</v>
      </c>
      <c r="I14" s="3">
        <v>4</v>
      </c>
    </row>
    <row r="15" spans="1:9" x14ac:dyDescent="0.35">
      <c r="A15" s="6" t="s">
        <v>203</v>
      </c>
      <c r="B15" s="3" t="s">
        <v>186</v>
      </c>
      <c r="C15" s="2" t="s">
        <v>200</v>
      </c>
      <c r="D15" s="2" t="s">
        <v>201</v>
      </c>
      <c r="E15" s="2" t="s">
        <v>200</v>
      </c>
      <c r="F15" s="2" t="s">
        <v>130</v>
      </c>
      <c r="G15" s="3" t="s">
        <v>39</v>
      </c>
      <c r="H15" s="4">
        <v>1500</v>
      </c>
      <c r="I15" s="3">
        <v>1</v>
      </c>
    </row>
    <row r="16" spans="1:9" x14ac:dyDescent="0.35">
      <c r="A16" s="6" t="s">
        <v>230</v>
      </c>
      <c r="B16" s="3" t="s">
        <v>42</v>
      </c>
      <c r="C16" s="2" t="s">
        <v>229</v>
      </c>
      <c r="D16" s="2" t="s">
        <v>205</v>
      </c>
      <c r="E16" s="33" t="s">
        <v>206</v>
      </c>
      <c r="F16" s="2" t="s">
        <v>207</v>
      </c>
      <c r="G16" s="3" t="s">
        <v>39</v>
      </c>
      <c r="H16" s="4">
        <v>94.1</v>
      </c>
      <c r="I16" s="3">
        <v>4</v>
      </c>
    </row>
    <row r="17" spans="1:9" x14ac:dyDescent="0.35">
      <c r="A17" s="6" t="s">
        <v>226</v>
      </c>
      <c r="B17" s="3" t="s">
        <v>42</v>
      </c>
      <c r="C17" s="2" t="s">
        <v>208</v>
      </c>
      <c r="D17" s="2" t="s">
        <v>209</v>
      </c>
      <c r="E17" s="2" t="s">
        <v>210</v>
      </c>
      <c r="F17" s="2" t="s">
        <v>418</v>
      </c>
      <c r="G17" s="3" t="s">
        <v>39</v>
      </c>
      <c r="H17" s="4">
        <v>169.64</v>
      </c>
      <c r="I17" s="3">
        <v>4</v>
      </c>
    </row>
    <row r="18" spans="1:9" x14ac:dyDescent="0.35">
      <c r="A18" s="6" t="s">
        <v>227</v>
      </c>
      <c r="B18" s="3" t="s">
        <v>42</v>
      </c>
      <c r="C18" s="2" t="s">
        <v>41</v>
      </c>
      <c r="D18" s="2" t="s">
        <v>211</v>
      </c>
      <c r="E18" s="2" t="s">
        <v>214</v>
      </c>
      <c r="F18" s="2" t="s">
        <v>421</v>
      </c>
      <c r="G18" s="3" t="s">
        <v>39</v>
      </c>
      <c r="H18" s="4">
        <v>3.44</v>
      </c>
      <c r="I18" s="3">
        <v>120</v>
      </c>
    </row>
    <row r="19" spans="1:9" x14ac:dyDescent="0.35">
      <c r="A19" s="6" t="s">
        <v>233</v>
      </c>
      <c r="B19" s="3" t="s">
        <v>42</v>
      </c>
      <c r="C19" s="2" t="s">
        <v>212</v>
      </c>
      <c r="D19" s="2" t="s">
        <v>231</v>
      </c>
      <c r="E19" s="2" t="s">
        <v>213</v>
      </c>
      <c r="F19" s="2" t="s">
        <v>419</v>
      </c>
      <c r="G19" s="3" t="s">
        <v>39</v>
      </c>
      <c r="H19" s="4">
        <v>4.3600000000000003</v>
      </c>
      <c r="I19" s="3">
        <v>20</v>
      </c>
    </row>
    <row r="20" spans="1:9" x14ac:dyDescent="0.35">
      <c r="A20" s="6" t="s">
        <v>234</v>
      </c>
      <c r="B20" s="3" t="s">
        <v>42</v>
      </c>
      <c r="C20" s="2" t="s">
        <v>212</v>
      </c>
      <c r="D20" s="2" t="s">
        <v>232</v>
      </c>
      <c r="E20" s="2" t="s">
        <v>215</v>
      </c>
      <c r="F20" s="2" t="s">
        <v>419</v>
      </c>
      <c r="G20" s="3" t="s">
        <v>39</v>
      </c>
      <c r="H20" s="4">
        <v>4.3600000000000003</v>
      </c>
      <c r="I20" s="3">
        <v>50</v>
      </c>
    </row>
    <row r="21" spans="1:9" x14ac:dyDescent="0.35">
      <c r="A21" s="6" t="s">
        <v>235</v>
      </c>
      <c r="B21" s="3" t="s">
        <v>42</v>
      </c>
      <c r="C21" s="2" t="s">
        <v>216</v>
      </c>
      <c r="D21" s="2" t="s">
        <v>217</v>
      </c>
      <c r="E21" s="2" t="s">
        <v>221</v>
      </c>
      <c r="F21" s="2" t="s">
        <v>429</v>
      </c>
      <c r="G21" s="3" t="s">
        <v>39</v>
      </c>
      <c r="H21" s="4">
        <v>1105.8</v>
      </c>
      <c r="I21" s="3">
        <v>3</v>
      </c>
    </row>
    <row r="22" spans="1:9" x14ac:dyDescent="0.35">
      <c r="A22" s="6" t="s">
        <v>236</v>
      </c>
      <c r="B22" s="3" t="s">
        <v>42</v>
      </c>
      <c r="C22" s="2" t="s">
        <v>216</v>
      </c>
      <c r="D22" s="2" t="s">
        <v>218</v>
      </c>
      <c r="E22" s="2" t="s">
        <v>223</v>
      </c>
      <c r="F22" s="2" t="s">
        <v>430</v>
      </c>
      <c r="G22" s="3" t="s">
        <v>39</v>
      </c>
      <c r="H22" s="4">
        <v>620.63</v>
      </c>
      <c r="I22" s="3">
        <v>2</v>
      </c>
    </row>
    <row r="23" spans="1:9" x14ac:dyDescent="0.35">
      <c r="A23" s="6" t="s">
        <v>237</v>
      </c>
      <c r="B23" s="3" t="s">
        <v>42</v>
      </c>
      <c r="C23" s="2" t="s">
        <v>216</v>
      </c>
      <c r="D23" s="2" t="s">
        <v>219</v>
      </c>
      <c r="E23" s="2" t="s">
        <v>222</v>
      </c>
      <c r="F23" s="2" t="s">
        <v>429</v>
      </c>
      <c r="G23" s="3" t="s">
        <v>39</v>
      </c>
      <c r="H23" s="4">
        <v>399</v>
      </c>
      <c r="I23" s="3">
        <v>2</v>
      </c>
    </row>
    <row r="24" spans="1:9" x14ac:dyDescent="0.35">
      <c r="A24" s="6" t="s">
        <v>238</v>
      </c>
      <c r="B24" s="3" t="s">
        <v>42</v>
      </c>
      <c r="C24" s="2" t="s">
        <v>216</v>
      </c>
      <c r="D24" s="2" t="s">
        <v>220</v>
      </c>
      <c r="E24" s="2" t="s">
        <v>224</v>
      </c>
      <c r="F24" s="2" t="s">
        <v>431</v>
      </c>
      <c r="G24" s="3" t="s">
        <v>39</v>
      </c>
      <c r="H24" s="4">
        <v>498</v>
      </c>
      <c r="I24" s="3">
        <v>3</v>
      </c>
    </row>
    <row r="25" spans="1:9" x14ac:dyDescent="0.35">
      <c r="A25" s="6" t="s">
        <v>250</v>
      </c>
      <c r="B25" s="3" t="s">
        <v>42</v>
      </c>
      <c r="C25" s="2" t="s">
        <v>239</v>
      </c>
      <c r="D25" s="2" t="s">
        <v>242</v>
      </c>
      <c r="E25" s="2" t="s">
        <v>243</v>
      </c>
      <c r="F25" s="2" t="s">
        <v>417</v>
      </c>
      <c r="G25" s="3" t="s">
        <v>39</v>
      </c>
      <c r="H25" s="4">
        <v>252.55</v>
      </c>
      <c r="I25" s="3">
        <v>1</v>
      </c>
    </row>
    <row r="26" spans="1:9" x14ac:dyDescent="0.35">
      <c r="A26" s="6" t="s">
        <v>251</v>
      </c>
      <c r="B26" s="3" t="s">
        <v>44</v>
      </c>
      <c r="C26" s="2" t="s">
        <v>1</v>
      </c>
      <c r="D26" s="2" t="s">
        <v>244</v>
      </c>
      <c r="E26" s="2" t="s">
        <v>241</v>
      </c>
      <c r="F26" s="2" t="s">
        <v>45</v>
      </c>
      <c r="G26" s="3" t="s">
        <v>39</v>
      </c>
      <c r="H26" s="4">
        <v>1129</v>
      </c>
      <c r="I26" s="3">
        <v>2</v>
      </c>
    </row>
    <row r="27" spans="1:9" x14ac:dyDescent="0.35">
      <c r="A27" s="6" t="s">
        <v>252</v>
      </c>
      <c r="B27" s="3" t="s">
        <v>186</v>
      </c>
      <c r="C27" s="2" t="s">
        <v>247</v>
      </c>
      <c r="D27" s="2" t="s">
        <v>248</v>
      </c>
      <c r="E27" s="2" t="s">
        <v>249</v>
      </c>
      <c r="F27" s="2" t="s">
        <v>420</v>
      </c>
      <c r="G27" s="3" t="s">
        <v>39</v>
      </c>
      <c r="H27" s="4">
        <v>199</v>
      </c>
      <c r="I27" s="3">
        <v>1</v>
      </c>
    </row>
    <row r="28" spans="1:9" x14ac:dyDescent="0.35">
      <c r="A28" s="6" t="s">
        <v>424</v>
      </c>
      <c r="B28" s="3" t="s">
        <v>42</v>
      </c>
      <c r="C28" s="2" t="s">
        <v>54</v>
      </c>
      <c r="D28" s="2" t="s">
        <v>423</v>
      </c>
      <c r="E28" s="2" t="s">
        <v>422</v>
      </c>
      <c r="F28" s="2" t="s">
        <v>66</v>
      </c>
      <c r="G28" s="3" t="s">
        <v>39</v>
      </c>
      <c r="H28" s="4">
        <v>589.49</v>
      </c>
      <c r="I28" s="3">
        <v>1</v>
      </c>
    </row>
    <row r="29" spans="1:9" x14ac:dyDescent="0.35">
      <c r="A29" s="6" t="s">
        <v>427</v>
      </c>
      <c r="B29" s="3" t="s">
        <v>42</v>
      </c>
      <c r="C29" s="2" t="s">
        <v>41</v>
      </c>
      <c r="D29" s="2" t="s">
        <v>426</v>
      </c>
      <c r="E29" s="2" t="s">
        <v>425</v>
      </c>
      <c r="F29" s="2" t="s">
        <v>428</v>
      </c>
      <c r="G29" s="3" t="s">
        <v>39</v>
      </c>
      <c r="H29" s="4">
        <v>14.9</v>
      </c>
      <c r="I29" s="3">
        <v>10</v>
      </c>
    </row>
    <row r="30" spans="1:9" x14ac:dyDescent="0.35">
      <c r="A30" s="6" t="str">
        <f>IF(COUNTA(B30:D30)=3, VLOOKUP(B30, [1]Configuracion!$A$2:$B$7, 2, FALSE) &amp; "-" &amp; UPPER(LEFT(C30, 3)) &amp; "-" &amp; D30, "")</f>
        <v/>
      </c>
      <c r="B30" s="3"/>
      <c r="C30" s="2"/>
      <c r="D30" s="2"/>
      <c r="E30" s="2"/>
      <c r="G30" s="3"/>
      <c r="H30" s="4"/>
      <c r="I30" s="3"/>
    </row>
    <row r="31" spans="1:9" x14ac:dyDescent="0.35">
      <c r="A31" s="6" t="str">
        <f>IF(COUNTA(B31:D31)=3, VLOOKUP(B31, [1]Configuracion!$A$2:$B$7, 2, FALSE) &amp; "-" &amp; UPPER(LEFT(C31, 3)) &amp; "-" &amp; D31, "")</f>
        <v/>
      </c>
      <c r="B31" s="3"/>
      <c r="C31" s="2"/>
      <c r="D31" s="2"/>
      <c r="E31" s="2"/>
      <c r="F31" s="2"/>
      <c r="G31" s="3"/>
      <c r="H31" s="4"/>
      <c r="I31" s="3"/>
    </row>
    <row r="32" spans="1:9" x14ac:dyDescent="0.35">
      <c r="A32" s="6" t="str">
        <f>IF(COUNTA(B32:D32)=3, VLOOKUP(B32, [1]Configuracion!$A$2:$B$7, 2, FALSE) &amp; "-" &amp; UPPER(LEFT(C32, 3)) &amp; "-" &amp; D32, "")</f>
        <v/>
      </c>
      <c r="B32" s="3"/>
      <c r="C32" s="2"/>
      <c r="D32" s="2"/>
      <c r="E32" s="2"/>
      <c r="F32" s="2"/>
      <c r="G32" s="3"/>
      <c r="H32" s="4"/>
      <c r="I32" s="3"/>
    </row>
    <row r="33" spans="1:9" x14ac:dyDescent="0.35">
      <c r="A33" s="6" t="str">
        <f>IF(COUNTA(B33:D33)=3, VLOOKUP(B33, [1]Configuracion!$A$2:$B$7, 2, FALSE) &amp; "-" &amp; UPPER(LEFT(C33, 3)) &amp; "-" &amp; D33, "")</f>
        <v/>
      </c>
      <c r="B33" s="3"/>
      <c r="C33" s="2"/>
      <c r="D33" s="2"/>
      <c r="E33" s="2"/>
      <c r="F33" s="2"/>
      <c r="G33" s="3"/>
      <c r="H33" s="4"/>
      <c r="I33" s="3"/>
    </row>
    <row r="34" spans="1:9" x14ac:dyDescent="0.35">
      <c r="A34" s="6" t="str">
        <f>IF(COUNTA(B34:D34)=3, VLOOKUP(B34, [1]Configuracion!$A$2:$B$7, 2, FALSE) &amp; "-" &amp; UPPER(LEFT(C34, 3)) &amp; "-" &amp; D34, "")</f>
        <v/>
      </c>
      <c r="B34" s="3"/>
      <c r="C34" s="2"/>
      <c r="D34" s="2"/>
      <c r="E34" s="2"/>
      <c r="F34" s="2"/>
      <c r="G34" s="3"/>
      <c r="H34" s="4"/>
      <c r="I34" s="3"/>
    </row>
    <row r="35" spans="1:9" x14ac:dyDescent="0.35">
      <c r="A35" s="6" t="str">
        <f>IF(COUNTA(B35:D35)=3, VLOOKUP(B35, [1]Configuracion!$A$2:$B$7, 2, FALSE) &amp; "-" &amp; UPPER(LEFT(C35, 3)) &amp; "-" &amp; D35, "")</f>
        <v/>
      </c>
      <c r="B35" s="3"/>
      <c r="C35" s="2"/>
      <c r="D35" s="2"/>
      <c r="E35" s="2"/>
      <c r="F35" s="2"/>
      <c r="G35" s="3"/>
      <c r="H35" s="4"/>
      <c r="I35" s="3"/>
    </row>
    <row r="36" spans="1:9" x14ac:dyDescent="0.35">
      <c r="A36" s="6" t="str">
        <f>IF(COUNTA(B36:D36)=3, VLOOKUP(B36, [1]Configuracion!$A$2:$B$7, 2, FALSE) &amp; "-" &amp; UPPER(LEFT(C36, 3)) &amp; "-" &amp; D36, "")</f>
        <v/>
      </c>
      <c r="B36" s="3"/>
      <c r="C36" s="2"/>
      <c r="D36" s="2"/>
      <c r="E36" s="2"/>
      <c r="F36" s="2"/>
      <c r="G36" s="3"/>
      <c r="H36" s="4"/>
      <c r="I36" s="3"/>
    </row>
    <row r="37" spans="1:9" x14ac:dyDescent="0.35">
      <c r="A37" s="6" t="str">
        <f>IF(COUNTA(B37:D37)=3, VLOOKUP(B37, [1]Configuracion!$A$2:$B$7, 2, FALSE) &amp; "-" &amp; UPPER(LEFT(C37, 3)) &amp; "-" &amp; D37, "")</f>
        <v/>
      </c>
      <c r="B37" s="3"/>
      <c r="C37" s="2"/>
      <c r="D37" s="2"/>
      <c r="E37" s="2"/>
      <c r="F37" s="2"/>
      <c r="G37" s="3"/>
      <c r="H37" s="4"/>
      <c r="I37" s="3"/>
    </row>
    <row r="38" spans="1:9" x14ac:dyDescent="0.35">
      <c r="A38" s="6" t="str">
        <f>IF(COUNTA(B38:D38)=3, VLOOKUP(B38, [1]Configuracion!$A$2:$B$7, 2, FALSE) &amp; "-" &amp; UPPER(LEFT(C38, 3)) &amp; "-" &amp; D38, "")</f>
        <v/>
      </c>
      <c r="B38" s="3"/>
      <c r="C38" s="2"/>
      <c r="D38" s="2"/>
      <c r="E38" s="2"/>
      <c r="F38" s="2"/>
      <c r="G38" s="3"/>
      <c r="H38" s="4"/>
      <c r="I38" s="3"/>
    </row>
    <row r="39" spans="1:9" x14ac:dyDescent="0.35">
      <c r="A39" s="6" t="str">
        <f>IF(COUNTA(B39:D39)=3, VLOOKUP(B39, [1]Configuracion!$A$2:$B$7, 2, FALSE) &amp; "-" &amp; UPPER(LEFT(C39, 3)) &amp; "-" &amp; D39, "")</f>
        <v/>
      </c>
      <c r="B39" s="3"/>
      <c r="C39" s="2"/>
      <c r="D39" s="2"/>
      <c r="E39" s="2"/>
      <c r="F39" s="2"/>
      <c r="G39" s="3"/>
      <c r="H39" s="4"/>
      <c r="I39" s="3"/>
    </row>
    <row r="40" spans="1:9" x14ac:dyDescent="0.35">
      <c r="A40" s="6" t="str">
        <f>IF(COUNTA(B40:D40)=3, VLOOKUP(B40, [1]Configuracion!$A$2:$B$7, 2, FALSE) &amp; "-" &amp; UPPER(LEFT(C40, 3)) &amp; "-" &amp; D40, "")</f>
        <v/>
      </c>
      <c r="B40" s="3"/>
      <c r="C40" s="2"/>
      <c r="D40" s="2"/>
      <c r="E40" s="2"/>
      <c r="F40" s="2"/>
      <c r="G40" s="3"/>
      <c r="H40" s="4"/>
      <c r="I40" s="3"/>
    </row>
    <row r="41" spans="1:9" x14ac:dyDescent="0.35">
      <c r="A41" s="6" t="str">
        <f>IF(COUNTA(B41:D41)=3, VLOOKUP(B41, [1]Configuracion!$A$2:$B$7, 2, FALSE) &amp; "-" &amp; UPPER(LEFT(C41, 3)) &amp; "-" &amp; D41, "")</f>
        <v/>
      </c>
      <c r="B41" s="3"/>
      <c r="C41" s="2"/>
      <c r="D41" s="2"/>
      <c r="E41" s="2"/>
      <c r="F41" s="2"/>
      <c r="G41" s="3"/>
      <c r="H41" s="4"/>
      <c r="I41" s="3"/>
    </row>
    <row r="42" spans="1:9" x14ac:dyDescent="0.35">
      <c r="A42" s="6" t="str">
        <f>IF(COUNTA(B42:D42)=3, VLOOKUP(B42, [1]Configuracion!$A$2:$B$7, 2, FALSE) &amp; "-" &amp; UPPER(LEFT(C42, 3)) &amp; "-" &amp; D42, "")</f>
        <v/>
      </c>
      <c r="B42" s="3"/>
      <c r="C42" s="2"/>
      <c r="D42" s="2"/>
      <c r="E42" s="2"/>
      <c r="F42" s="2"/>
      <c r="G42" s="3"/>
      <c r="H42" s="4"/>
      <c r="I42" s="3"/>
    </row>
    <row r="43" spans="1:9" x14ac:dyDescent="0.35">
      <c r="A43" s="6" t="str">
        <f>IF(COUNTA(B43:D43)=3, VLOOKUP(B43, [1]Configuracion!$A$2:$B$7, 2, FALSE) &amp; "-" &amp; UPPER(LEFT(C43, 3)) &amp; "-" &amp; D43, "")</f>
        <v/>
      </c>
      <c r="B43" s="3"/>
      <c r="C43" s="2"/>
      <c r="D43" s="2"/>
      <c r="E43" s="2"/>
      <c r="F43" s="2"/>
      <c r="G43" s="3"/>
      <c r="H43" s="4"/>
      <c r="I43" s="3"/>
    </row>
    <row r="44" spans="1:9" x14ac:dyDescent="0.35">
      <c r="A44" s="6" t="str">
        <f>IF(COUNTA(B44:D44)=3, VLOOKUP(B44, [1]Configuracion!$A$2:$B$7, 2, FALSE) &amp; "-" &amp; UPPER(LEFT(C44, 3)) &amp; "-" &amp; D44, "")</f>
        <v/>
      </c>
      <c r="B44" s="3"/>
      <c r="C44" s="2"/>
      <c r="D44" s="2"/>
      <c r="E44" s="2"/>
      <c r="F44" s="2"/>
      <c r="G44" s="3"/>
      <c r="H44" s="4"/>
      <c r="I44" s="3"/>
    </row>
    <row r="45" spans="1:9" x14ac:dyDescent="0.35">
      <c r="A45" s="6" t="str">
        <f>IF(COUNTA(B45:D45)=3, VLOOKUP(B45, [1]Configuracion!$A$2:$B$7, 2, FALSE) &amp; "-" &amp; UPPER(LEFT(C45, 3)) &amp; "-" &amp; D45, "")</f>
        <v/>
      </c>
      <c r="B45" s="3"/>
      <c r="C45" s="2"/>
      <c r="D45" s="2"/>
      <c r="E45" s="2"/>
      <c r="F45" s="2"/>
      <c r="G45" s="3"/>
      <c r="H45" s="4"/>
      <c r="I45" s="3"/>
    </row>
    <row r="46" spans="1:9" x14ac:dyDescent="0.35">
      <c r="A46" s="6" t="str">
        <f>IF(COUNTA(B46:D46)=3, VLOOKUP(B46, [1]Configuracion!$A$2:$B$7, 2, FALSE) &amp; "-" &amp; UPPER(LEFT(C46, 3)) &amp; "-" &amp; D46, "")</f>
        <v/>
      </c>
      <c r="B46" s="3"/>
      <c r="C46" s="2"/>
      <c r="D46" s="2"/>
      <c r="E46" s="2"/>
      <c r="F46" s="2"/>
      <c r="G46" s="3"/>
      <c r="H46" s="4"/>
      <c r="I46" s="3"/>
    </row>
    <row r="47" spans="1:9" x14ac:dyDescent="0.35">
      <c r="A47" s="6" t="str">
        <f>IF(COUNTA(B47:D47)=3, VLOOKUP(B47, [1]Configuracion!$A$2:$B$7, 2, FALSE) &amp; "-" &amp; UPPER(LEFT(C47, 3)) &amp; "-" &amp; D47, "")</f>
        <v/>
      </c>
      <c r="B47" s="3"/>
      <c r="C47" s="2"/>
      <c r="D47" s="2"/>
      <c r="E47" s="2"/>
      <c r="F47" s="2"/>
      <c r="G47" s="3"/>
      <c r="H47" s="4"/>
      <c r="I47" s="3"/>
    </row>
    <row r="48" spans="1:9" x14ac:dyDescent="0.35">
      <c r="A48" s="6" t="str">
        <f>IF(COUNTA(B48:D48)=3, VLOOKUP(B48, [1]Configuracion!$A$2:$B$7, 2, FALSE) &amp; "-" &amp; UPPER(LEFT(C48, 3)) &amp; "-" &amp; D48, "")</f>
        <v/>
      </c>
      <c r="B48" s="3"/>
      <c r="C48" s="2"/>
      <c r="D48" s="2"/>
      <c r="E48" s="2"/>
      <c r="F48" s="2"/>
      <c r="G48" s="3"/>
      <c r="H48" s="4"/>
      <c r="I48" s="3"/>
    </row>
    <row r="49" spans="1:9" x14ac:dyDescent="0.35">
      <c r="A49" s="6" t="str">
        <f>IF(COUNTA(B49:D49)=3, VLOOKUP(B49, [1]Configuracion!$A$2:$B$7, 2, FALSE) &amp; "-" &amp; UPPER(LEFT(C49, 3)) &amp; "-" &amp; D49, "")</f>
        <v/>
      </c>
      <c r="B49" s="3"/>
      <c r="C49" s="2"/>
      <c r="D49" s="2"/>
      <c r="E49" s="2"/>
      <c r="F49" s="2"/>
      <c r="G49" s="3"/>
      <c r="H49" s="4"/>
      <c r="I49" s="3"/>
    </row>
    <row r="50" spans="1:9" x14ac:dyDescent="0.35">
      <c r="A50" s="6" t="str">
        <f>IF(COUNTA(B50:D50)=3, VLOOKUP(B50, [1]Configuracion!$A$2:$B$7, 2, FALSE) &amp; "-" &amp; UPPER(LEFT(C50, 3)) &amp; "-" &amp; D50, "")</f>
        <v/>
      </c>
      <c r="B50" s="3"/>
      <c r="C50" s="2"/>
      <c r="D50" s="2"/>
      <c r="E50" s="2"/>
      <c r="F50" s="2"/>
      <c r="G50" s="3"/>
      <c r="H50" s="4"/>
      <c r="I50" s="3"/>
    </row>
    <row r="51" spans="1:9" x14ac:dyDescent="0.35">
      <c r="A51" s="6" t="str">
        <f>IF(COUNTA(B51:D51)=3, VLOOKUP(B51, [1]Configuracion!$A$2:$B$7, 2, FALSE) &amp; "-" &amp; UPPER(LEFT(C51, 3)) &amp; "-" &amp; D51, "")</f>
        <v/>
      </c>
      <c r="B51" s="3"/>
      <c r="C51" s="2"/>
      <c r="D51" s="2"/>
      <c r="E51" s="2"/>
      <c r="F51" s="2"/>
      <c r="G51" s="3"/>
      <c r="H51" s="4"/>
      <c r="I51" s="3"/>
    </row>
    <row r="52" spans="1:9" x14ac:dyDescent="0.35">
      <c r="A52" s="6" t="str">
        <f>IF(COUNTA(B52:D52)=3, VLOOKUP(B52, [1]Configuracion!$A$2:$B$7, 2, FALSE) &amp; "-" &amp; UPPER(LEFT(C52, 3)) &amp; "-" &amp; D52, "")</f>
        <v/>
      </c>
      <c r="B52" s="3"/>
      <c r="C52" s="2"/>
      <c r="D52" s="2"/>
      <c r="E52" s="2"/>
      <c r="F52" s="2"/>
      <c r="G52" s="3"/>
      <c r="H52" s="4"/>
      <c r="I52" s="3"/>
    </row>
    <row r="53" spans="1:9" x14ac:dyDescent="0.35">
      <c r="A53" s="6" t="str">
        <f>IF(COUNTA(B53:D53)=3, VLOOKUP(B53, [1]Configuracion!$A$2:$B$7, 2, FALSE) &amp; "-" &amp; UPPER(LEFT(C53, 3)) &amp; "-" &amp; D53, "")</f>
        <v/>
      </c>
      <c r="B53" s="3"/>
      <c r="C53" s="2"/>
      <c r="D53" s="2"/>
      <c r="E53" s="2"/>
      <c r="F53" s="2"/>
      <c r="G53" s="3"/>
      <c r="H53" s="4"/>
      <c r="I53" s="3"/>
    </row>
    <row r="54" spans="1:9" x14ac:dyDescent="0.35">
      <c r="A54" s="6" t="str">
        <f>IF(COUNTA(B54:D54)=3, VLOOKUP(B54, [1]Configuracion!$A$2:$B$7, 2, FALSE) &amp; "-" &amp; UPPER(LEFT(C54, 3)) &amp; "-" &amp; D54, "")</f>
        <v/>
      </c>
      <c r="B54" s="3"/>
      <c r="C54" s="2"/>
      <c r="D54" s="2"/>
      <c r="E54" s="2"/>
      <c r="F54" s="2"/>
      <c r="G54" s="3"/>
      <c r="H54" s="4"/>
      <c r="I54" s="3"/>
    </row>
    <row r="55" spans="1:9" x14ac:dyDescent="0.35">
      <c r="A55" s="6" t="str">
        <f>IF(COUNTA(B55:D55)=3, VLOOKUP(B55, [1]Configuracion!$A$2:$B$7, 2, FALSE) &amp; "-" &amp; UPPER(LEFT(C55, 3)) &amp; "-" &amp; D55, "")</f>
        <v/>
      </c>
      <c r="B55" s="3"/>
      <c r="C55" s="2"/>
      <c r="D55" s="2"/>
      <c r="E55" s="2"/>
      <c r="F55" s="2"/>
      <c r="G55" s="3"/>
      <c r="H55" s="4"/>
      <c r="I55" s="3"/>
    </row>
    <row r="56" spans="1:9" x14ac:dyDescent="0.35">
      <c r="A56" s="6" t="str">
        <f>IF(COUNTA(B56:D56)=3, VLOOKUP(B56, [1]Configuracion!$A$2:$B$7, 2, FALSE) &amp; "-" &amp; UPPER(LEFT(C56, 3)) &amp; "-" &amp; D56, "")</f>
        <v/>
      </c>
      <c r="B56" s="3"/>
      <c r="C56" s="2"/>
      <c r="D56" s="2"/>
      <c r="E56" s="2"/>
      <c r="F56" s="2"/>
      <c r="G56" s="3"/>
      <c r="H56" s="4"/>
      <c r="I56" s="3"/>
    </row>
    <row r="57" spans="1:9" x14ac:dyDescent="0.35">
      <c r="A57" s="6" t="str">
        <f>IF(COUNTA(B57:D57)=3, VLOOKUP(B57, [1]Configuracion!$A$2:$B$7, 2, FALSE) &amp; "-" &amp; UPPER(LEFT(C57, 3)) &amp; "-" &amp; D57, "")</f>
        <v/>
      </c>
      <c r="B57" s="3"/>
      <c r="C57" s="2"/>
      <c r="D57" s="2"/>
      <c r="E57" s="2"/>
      <c r="F57" s="2"/>
      <c r="G57" s="3"/>
      <c r="H57" s="4"/>
      <c r="I57" s="3"/>
    </row>
    <row r="58" spans="1:9" x14ac:dyDescent="0.35">
      <c r="A58" s="6" t="str">
        <f>IF(COUNTA(B58:D58)=3, VLOOKUP(B58, [1]Configuracion!$A$2:$B$7, 2, FALSE) &amp; "-" &amp; UPPER(LEFT(C58, 3)) &amp; "-" &amp; D58, "")</f>
        <v/>
      </c>
      <c r="B58" s="3"/>
      <c r="C58" s="2"/>
      <c r="D58" s="2"/>
      <c r="E58" s="2"/>
      <c r="F58" s="2"/>
      <c r="G58" s="3"/>
      <c r="H58" s="4"/>
      <c r="I58" s="3"/>
    </row>
    <row r="59" spans="1:9" x14ac:dyDescent="0.35">
      <c r="A59" s="6" t="str">
        <f>IF(COUNTA(B59:D59)=3, VLOOKUP(B59, [1]Configuracion!$A$2:$B$7, 2, FALSE) &amp; "-" &amp; UPPER(LEFT(C59, 3)) &amp; "-" &amp; D59, "")</f>
        <v/>
      </c>
      <c r="B59" s="3"/>
      <c r="C59" s="2"/>
      <c r="D59" s="2"/>
      <c r="E59" s="2"/>
      <c r="F59" s="2"/>
      <c r="G59" s="3"/>
      <c r="H59" s="4"/>
      <c r="I59" s="3"/>
    </row>
    <row r="60" spans="1:9" x14ac:dyDescent="0.35">
      <c r="A60" s="6" t="str">
        <f>IF(COUNTA(B60:D60)=3, VLOOKUP(B60, [1]Configuracion!$A$2:$B$7, 2, FALSE) &amp; "-" &amp; UPPER(LEFT(C60, 3)) &amp; "-" &amp; D60, "")</f>
        <v/>
      </c>
      <c r="B60" s="3"/>
      <c r="C60" s="2"/>
      <c r="D60" s="2"/>
      <c r="E60" s="2"/>
      <c r="F60" s="2"/>
      <c r="G60" s="3"/>
      <c r="H60" s="4"/>
      <c r="I60" s="3"/>
    </row>
    <row r="61" spans="1:9" x14ac:dyDescent="0.35">
      <c r="A61" s="6" t="str">
        <f>IF(COUNTA(B61:D61)=3, VLOOKUP(B61, [1]Configuracion!$A$2:$B$7, 2, FALSE) &amp; "-" &amp; UPPER(LEFT(C61, 3)) &amp; "-" &amp; D61, "")</f>
        <v/>
      </c>
      <c r="B61" s="3"/>
      <c r="C61" s="2"/>
      <c r="D61" s="2"/>
      <c r="E61" s="2"/>
      <c r="F61" s="2"/>
      <c r="G61" s="3"/>
      <c r="H61" s="4"/>
      <c r="I61" s="3"/>
    </row>
    <row r="62" spans="1:9" x14ac:dyDescent="0.35">
      <c r="A62" s="6" t="str">
        <f>IF(COUNTA(B62:D62)=3, VLOOKUP(B62, [1]Configuracion!$A$2:$B$7, 2, FALSE) &amp; "-" &amp; UPPER(LEFT(C62, 3)) &amp; "-" &amp; D62, "")</f>
        <v/>
      </c>
      <c r="B62" s="3"/>
      <c r="C62" s="2"/>
      <c r="D62" s="2"/>
      <c r="E62" s="2"/>
      <c r="F62" s="2"/>
      <c r="G62" s="3"/>
      <c r="H62" s="4"/>
      <c r="I62" s="3"/>
    </row>
    <row r="63" spans="1:9" x14ac:dyDescent="0.35">
      <c r="A63" s="6" t="str">
        <f>IF(COUNTA(B63:D63)=3, VLOOKUP(B63, [1]Configuracion!$A$2:$B$7, 2, FALSE) &amp; "-" &amp; UPPER(LEFT(C63, 3)) &amp; "-" &amp; D63, "")</f>
        <v/>
      </c>
      <c r="B63" s="3"/>
      <c r="C63" s="2"/>
      <c r="D63" s="2"/>
      <c r="E63" s="2"/>
      <c r="F63" s="2"/>
      <c r="G63" s="3"/>
      <c r="H63" s="4"/>
      <c r="I63" s="3"/>
    </row>
    <row r="64" spans="1:9" x14ac:dyDescent="0.35">
      <c r="A64" s="6" t="str">
        <f>IF(COUNTA(B64:D64)=3, VLOOKUP(B64, [1]Configuracion!$A$2:$B$7, 2, FALSE) &amp; "-" &amp; UPPER(LEFT(C64, 3)) &amp; "-" &amp; D64, "")</f>
        <v/>
      </c>
      <c r="B64" s="3"/>
      <c r="C64" s="2"/>
      <c r="D64" s="2"/>
      <c r="E64" s="2"/>
      <c r="F64" s="2"/>
      <c r="G64" s="3"/>
      <c r="H64" s="4"/>
      <c r="I64" s="3"/>
    </row>
    <row r="65" spans="1:9" x14ac:dyDescent="0.35">
      <c r="A65" s="6" t="str">
        <f>IF(COUNTA(B65:D65)=3, VLOOKUP(B65, [1]Configuracion!$A$2:$B$7, 2, FALSE) &amp; "-" &amp; UPPER(LEFT(C65, 3)) &amp; "-" &amp; D65, "")</f>
        <v/>
      </c>
      <c r="B65" s="3"/>
      <c r="C65" s="2"/>
      <c r="D65" s="2"/>
      <c r="E65" s="2"/>
      <c r="F65" s="2"/>
      <c r="G65" s="3"/>
      <c r="H65" s="4"/>
      <c r="I65" s="3"/>
    </row>
    <row r="66" spans="1:9" x14ac:dyDescent="0.35">
      <c r="A66" s="6" t="str">
        <f>IF(COUNTA(B66:D66)=3, VLOOKUP(B66, [1]Configuracion!$A$2:$B$7, 2, FALSE) &amp; "-" &amp; UPPER(LEFT(C66, 3)) &amp; "-" &amp; D66, "")</f>
        <v/>
      </c>
      <c r="B66" s="3"/>
      <c r="C66" s="2"/>
      <c r="D66" s="2"/>
      <c r="E66" s="2"/>
      <c r="F66" s="2"/>
      <c r="G66" s="3"/>
      <c r="H66" s="4"/>
      <c r="I66" s="3"/>
    </row>
    <row r="67" spans="1:9" x14ac:dyDescent="0.35">
      <c r="A67" s="6" t="str">
        <f>IF(COUNTA(B67:D67)=3, VLOOKUP(B67, [1]Configuracion!$A$2:$B$7, 2, FALSE) &amp; "-" &amp; UPPER(LEFT(C67, 3)) &amp; "-" &amp; D67, "")</f>
        <v/>
      </c>
      <c r="B67" s="3"/>
      <c r="C67" s="2"/>
      <c r="D67" s="2"/>
      <c r="E67" s="2"/>
      <c r="F67" s="2"/>
      <c r="G67" s="3"/>
      <c r="H67" s="4"/>
      <c r="I67" s="3"/>
    </row>
    <row r="68" spans="1:9" x14ac:dyDescent="0.35">
      <c r="A68" s="6" t="str">
        <f>IF(COUNTA(B68:D68)=3, VLOOKUP(B68, [1]Configuracion!$A$2:$B$7, 2, FALSE) &amp; "-" &amp; UPPER(LEFT(C68, 3)) &amp; "-" &amp; D68, "")</f>
        <v/>
      </c>
      <c r="B68" s="3"/>
      <c r="C68" s="2"/>
      <c r="D68" s="2"/>
      <c r="E68" s="2"/>
      <c r="F68" s="2"/>
      <c r="G68" s="3"/>
      <c r="H68" s="4"/>
      <c r="I68" s="3"/>
    </row>
    <row r="69" spans="1:9" x14ac:dyDescent="0.35">
      <c r="A69" s="6" t="str">
        <f>IF(COUNTA(B69:D69)=3, VLOOKUP(B69, [1]Configuracion!$A$2:$B$7, 2, FALSE) &amp; "-" &amp; UPPER(LEFT(C69, 3)) &amp; "-" &amp; D69, "")</f>
        <v/>
      </c>
      <c r="B69" s="3"/>
      <c r="C69" s="2"/>
      <c r="D69" s="2"/>
      <c r="E69" s="2"/>
      <c r="F69" s="2"/>
      <c r="G69" s="3"/>
      <c r="H69" s="4"/>
      <c r="I69" s="3"/>
    </row>
    <row r="70" spans="1:9" x14ac:dyDescent="0.35">
      <c r="A70" s="6" t="str">
        <f>IF(COUNTA(B70:D70)=3, VLOOKUP(B70, [1]Configuracion!$A$2:$B$7, 2, FALSE) &amp; "-" &amp; UPPER(LEFT(C70, 3)) &amp; "-" &amp; D70, "")</f>
        <v/>
      </c>
      <c r="B70" s="3"/>
      <c r="C70" s="2"/>
      <c r="D70" s="2"/>
      <c r="E70" s="2"/>
      <c r="F70" s="2"/>
      <c r="G70" s="3"/>
      <c r="H70" s="4"/>
      <c r="I70" s="3"/>
    </row>
    <row r="71" spans="1:9" x14ac:dyDescent="0.35">
      <c r="A71" s="6" t="str">
        <f>IF(COUNTA(B71:D71)=3, VLOOKUP(B71, [1]Configuracion!$A$2:$B$7, 2, FALSE) &amp; "-" &amp; UPPER(LEFT(C71, 3)) &amp; "-" &amp; D71, "")</f>
        <v/>
      </c>
      <c r="B71" s="3"/>
      <c r="C71" s="2"/>
      <c r="D71" s="2"/>
      <c r="E71" s="2"/>
      <c r="F71" s="2"/>
      <c r="G71" s="3"/>
      <c r="H71" s="4"/>
      <c r="I71" s="3"/>
    </row>
    <row r="72" spans="1:9" x14ac:dyDescent="0.35">
      <c r="A72" s="6" t="str">
        <f>IF(COUNTA(B72:D72)=3, VLOOKUP(B72, [1]Configuracion!$A$2:$B$7, 2, FALSE) &amp; "-" &amp; UPPER(LEFT(C72, 3)) &amp; "-" &amp; D72, "")</f>
        <v/>
      </c>
      <c r="B72" s="3"/>
      <c r="C72" s="2"/>
      <c r="D72" s="2"/>
      <c r="E72" s="2"/>
      <c r="F72" s="2"/>
      <c r="G72" s="3"/>
      <c r="H72" s="4"/>
      <c r="I72" s="3"/>
    </row>
    <row r="73" spans="1:9" x14ac:dyDescent="0.35">
      <c r="A73" s="6" t="str">
        <f>IF(COUNTA(B73:D73)=3, VLOOKUP(B73, [1]Configuracion!$A$2:$B$7, 2, FALSE) &amp; "-" &amp; UPPER(LEFT(C73, 3)) &amp; "-" &amp; D73, "")</f>
        <v/>
      </c>
      <c r="B73" s="3"/>
      <c r="C73" s="2"/>
      <c r="D73" s="2"/>
      <c r="E73" s="2"/>
      <c r="F73" s="2"/>
      <c r="G73" s="3"/>
      <c r="H73" s="4"/>
      <c r="I73" s="3"/>
    </row>
    <row r="74" spans="1:9" x14ac:dyDescent="0.35">
      <c r="A74" s="6" t="str">
        <f>IF(COUNTA(B74:D74)=3, VLOOKUP(B74, [1]Configuracion!$A$2:$B$7, 2, FALSE) &amp; "-" &amp; UPPER(LEFT(C74, 3)) &amp; "-" &amp; D74, "")</f>
        <v/>
      </c>
      <c r="B74" s="3"/>
      <c r="C74" s="2"/>
      <c r="D74" s="2"/>
      <c r="E74" s="2"/>
      <c r="F74" s="2"/>
      <c r="G74" s="3"/>
      <c r="H74" s="4"/>
      <c r="I74" s="3"/>
    </row>
    <row r="75" spans="1:9" x14ac:dyDescent="0.35">
      <c r="A75" s="6" t="str">
        <f>IF(COUNTA(B75:D75)=3, VLOOKUP(B75, [1]Configuracion!$A$2:$B$7, 2, FALSE) &amp; "-" &amp; UPPER(LEFT(C75, 3)) &amp; "-" &amp; D75, "")</f>
        <v/>
      </c>
      <c r="B75" s="3"/>
      <c r="C75" s="2"/>
      <c r="D75" s="2"/>
      <c r="E75" s="2"/>
      <c r="F75" s="2"/>
      <c r="G75" s="3"/>
      <c r="H75" s="4"/>
      <c r="I75" s="3"/>
    </row>
    <row r="76" spans="1:9" x14ac:dyDescent="0.35">
      <c r="A76" s="6" t="str">
        <f>IF(COUNTA(B76:D76)=3, VLOOKUP(B76, [1]Configuracion!$A$2:$B$7, 2, FALSE) &amp; "-" &amp; UPPER(LEFT(C76, 3)) &amp; "-" &amp; D76, "")</f>
        <v/>
      </c>
      <c r="B76" s="3"/>
      <c r="C76" s="2"/>
      <c r="D76" s="2"/>
      <c r="E76" s="2"/>
      <c r="F76" s="2"/>
      <c r="G76" s="3"/>
      <c r="H76" s="4"/>
      <c r="I76" s="3"/>
    </row>
    <row r="77" spans="1:9" x14ac:dyDescent="0.35">
      <c r="A77" s="6" t="str">
        <f>IF(COUNTA(B77:D77)=3, VLOOKUP(B77, [1]Configuracion!$A$2:$B$7, 2, FALSE) &amp; "-" &amp; UPPER(LEFT(C77, 3)) &amp; "-" &amp; D77, "")</f>
        <v/>
      </c>
      <c r="B77" s="3"/>
      <c r="C77" s="2"/>
      <c r="D77" s="2"/>
      <c r="E77" s="2"/>
      <c r="F77" s="2"/>
      <c r="G77" s="3"/>
      <c r="H77" s="4"/>
      <c r="I77" s="3"/>
    </row>
    <row r="78" spans="1:9" x14ac:dyDescent="0.35">
      <c r="A78" s="6" t="str">
        <f>IF(COUNTA(B78:D78)=3, VLOOKUP(B78, [1]Configuracion!$A$2:$B$7, 2, FALSE) &amp; "-" &amp; UPPER(LEFT(C78, 3)) &amp; "-" &amp; D78, "")</f>
        <v/>
      </c>
      <c r="B78" s="3"/>
      <c r="C78" s="2"/>
      <c r="D78" s="2"/>
      <c r="E78" s="2"/>
      <c r="F78" s="2"/>
      <c r="G78" s="3"/>
      <c r="H78" s="4"/>
      <c r="I78" s="3"/>
    </row>
    <row r="79" spans="1:9" x14ac:dyDescent="0.35">
      <c r="A79" s="6" t="str">
        <f>IF(COUNTA(B79:D79)=3, VLOOKUP(B79, [1]Configuracion!$A$2:$B$7, 2, FALSE) &amp; "-" &amp; UPPER(LEFT(C79, 3)) &amp; "-" &amp; D79, "")</f>
        <v/>
      </c>
      <c r="B79" s="3"/>
      <c r="C79" s="2"/>
      <c r="D79" s="2"/>
      <c r="E79" s="2"/>
      <c r="F79" s="2"/>
      <c r="G79" s="3"/>
      <c r="H79" s="4"/>
      <c r="I79" s="3"/>
    </row>
    <row r="80" spans="1:9" x14ac:dyDescent="0.35">
      <c r="A80" s="6" t="str">
        <f>IF(COUNTA(B80:D80)=3, VLOOKUP(B80, [1]Configuracion!$A$2:$B$7, 2, FALSE) &amp; "-" &amp; UPPER(LEFT(C80, 3)) &amp; "-" &amp; D80, "")</f>
        <v/>
      </c>
      <c r="B80" s="3"/>
      <c r="C80" s="2"/>
      <c r="D80" s="2"/>
      <c r="E80" s="2"/>
      <c r="F80" s="2"/>
      <c r="G80" s="3"/>
      <c r="H80" s="4"/>
      <c r="I80" s="3"/>
    </row>
    <row r="81" spans="1:9" x14ac:dyDescent="0.35">
      <c r="A81" s="6" t="str">
        <f>IF(COUNTA(B81:D81)=3, VLOOKUP(B81, [1]Configuracion!$A$2:$B$7, 2, FALSE) &amp; "-" &amp; UPPER(LEFT(C81, 3)) &amp; "-" &amp; D81, "")</f>
        <v/>
      </c>
      <c r="B81" s="3"/>
      <c r="C81" s="2"/>
      <c r="D81" s="2"/>
      <c r="E81" s="2"/>
      <c r="F81" s="2"/>
      <c r="G81" s="3"/>
      <c r="H81" s="4"/>
      <c r="I81" s="3"/>
    </row>
    <row r="82" spans="1:9" x14ac:dyDescent="0.35">
      <c r="A82" s="6" t="str">
        <f>IF(COUNTA(B82:D82)=3, VLOOKUP(B82, [1]Configuracion!$A$2:$B$7, 2, FALSE) &amp; "-" &amp; UPPER(LEFT(C82, 3)) &amp; "-" &amp; D82, "")</f>
        <v/>
      </c>
      <c r="B82" s="3"/>
      <c r="C82" s="2"/>
      <c r="D82" s="2"/>
      <c r="E82" s="2"/>
      <c r="F82" s="2"/>
      <c r="G82" s="3"/>
      <c r="H82" s="4"/>
      <c r="I82" s="3"/>
    </row>
    <row r="83" spans="1:9" x14ac:dyDescent="0.35">
      <c r="A83" s="6" t="str">
        <f>IF(COUNTA(B83:D83)=3, VLOOKUP(B83, [1]Configuracion!$A$2:$B$7, 2, FALSE) &amp; "-" &amp; UPPER(LEFT(C83, 3)) &amp; "-" &amp; D83, "")</f>
        <v/>
      </c>
      <c r="B83" s="3"/>
      <c r="C83" s="2"/>
      <c r="D83" s="2"/>
      <c r="E83" s="2"/>
      <c r="F83" s="2"/>
      <c r="G83" s="3"/>
      <c r="H83" s="4"/>
      <c r="I83" s="3"/>
    </row>
    <row r="84" spans="1:9" x14ac:dyDescent="0.35">
      <c r="A84" s="6" t="str">
        <f>IF(COUNTA(B84:D84)=3, VLOOKUP(B84, [1]Configuracion!$A$2:$B$7, 2, FALSE) &amp; "-" &amp; UPPER(LEFT(C84, 3)) &amp; "-" &amp; D84, "")</f>
        <v/>
      </c>
      <c r="B84" s="3"/>
      <c r="C84" s="2"/>
      <c r="D84" s="2"/>
      <c r="E84" s="2"/>
      <c r="F84" s="2"/>
      <c r="G84" s="3"/>
      <c r="H84" s="4"/>
      <c r="I84" s="3"/>
    </row>
    <row r="85" spans="1:9" x14ac:dyDescent="0.35">
      <c r="A85" s="6" t="str">
        <f>IF(COUNTA(B85:D85)=3, VLOOKUP(B85, [1]Configuracion!$A$2:$B$7, 2, FALSE) &amp; "-" &amp; UPPER(LEFT(C85, 3)) &amp; "-" &amp; D85, "")</f>
        <v/>
      </c>
      <c r="B85" s="3"/>
      <c r="C85" s="2"/>
      <c r="D85" s="2"/>
      <c r="E85" s="2"/>
      <c r="F85" s="2"/>
      <c r="G85" s="3"/>
      <c r="H85" s="4"/>
      <c r="I85" s="3"/>
    </row>
    <row r="86" spans="1:9" x14ac:dyDescent="0.35">
      <c r="A86" s="6" t="str">
        <f>IF(COUNTA(B86:D86)=3, VLOOKUP(B86, [1]Configuracion!$A$2:$B$7, 2, FALSE) &amp; "-" &amp; UPPER(LEFT(C86, 3)) &amp; "-" &amp; D86, "")</f>
        <v/>
      </c>
      <c r="B86" s="3"/>
      <c r="C86" s="2"/>
      <c r="D86" s="2"/>
      <c r="E86" s="2"/>
      <c r="F86" s="2"/>
      <c r="G86" s="3"/>
      <c r="H86" s="4"/>
      <c r="I86" s="3"/>
    </row>
    <row r="87" spans="1:9" x14ac:dyDescent="0.35">
      <c r="A87" s="6" t="str">
        <f>IF(COUNTA(B87:D87)=3, VLOOKUP(B87, [1]Configuracion!$A$2:$B$7, 2, FALSE) &amp; "-" &amp; UPPER(LEFT(C87, 3)) &amp; "-" &amp; D87, "")</f>
        <v/>
      </c>
      <c r="B87" s="3"/>
      <c r="C87" s="2"/>
      <c r="D87" s="2"/>
      <c r="E87" s="2"/>
      <c r="F87" s="2"/>
      <c r="G87" s="3"/>
      <c r="H87" s="4"/>
      <c r="I87" s="3"/>
    </row>
    <row r="88" spans="1:9" x14ac:dyDescent="0.35">
      <c r="A88" s="6" t="str">
        <f>IF(COUNTA(B88:D88)=3, VLOOKUP(B88, [1]Configuracion!$A$2:$B$7, 2, FALSE) &amp; "-" &amp; UPPER(LEFT(C88, 3)) &amp; "-" &amp; D88, "")</f>
        <v/>
      </c>
      <c r="B88" s="3"/>
      <c r="C88" s="2"/>
      <c r="D88" s="2"/>
      <c r="E88" s="2"/>
      <c r="F88" s="2"/>
      <c r="G88" s="3"/>
      <c r="H88" s="4"/>
      <c r="I88" s="3"/>
    </row>
    <row r="89" spans="1:9" x14ac:dyDescent="0.35">
      <c r="A89" s="6" t="str">
        <f>IF(COUNTA(B89:D89)=3, VLOOKUP(B89, [1]Configuracion!$A$2:$B$7, 2, FALSE) &amp; "-" &amp; UPPER(LEFT(C89, 3)) &amp; "-" &amp; D89, "")</f>
        <v/>
      </c>
      <c r="B89" s="3"/>
      <c r="C89" s="2"/>
      <c r="D89" s="2"/>
      <c r="E89" s="2"/>
      <c r="F89" s="2"/>
      <c r="G89" s="3"/>
      <c r="H89" s="4"/>
      <c r="I89" s="3"/>
    </row>
    <row r="90" spans="1:9" x14ac:dyDescent="0.35">
      <c r="A90" s="6" t="str">
        <f>IF(COUNTA(B90:D90)=3, VLOOKUP(B90, [1]Configuracion!$A$2:$B$7, 2, FALSE) &amp; "-" &amp; UPPER(LEFT(C90, 3)) &amp; "-" &amp; D90, "")</f>
        <v/>
      </c>
      <c r="B90" s="3"/>
      <c r="C90" s="2"/>
      <c r="D90" s="2"/>
      <c r="E90" s="2"/>
      <c r="F90" s="2"/>
      <c r="G90" s="3"/>
      <c r="H90" s="4"/>
      <c r="I90" s="3"/>
    </row>
    <row r="91" spans="1:9" x14ac:dyDescent="0.35">
      <c r="A91" s="6" t="str">
        <f>IF(COUNTA(B91:D91)=3, VLOOKUP(B91, [1]Configuracion!$A$2:$B$7, 2, FALSE) &amp; "-" &amp; UPPER(LEFT(C91, 3)) &amp; "-" &amp; D91, "")</f>
        <v/>
      </c>
      <c r="B91" s="3"/>
      <c r="C91" s="2"/>
      <c r="D91" s="2"/>
      <c r="E91" s="2"/>
      <c r="F91" s="2"/>
      <c r="G91" s="3"/>
      <c r="H91" s="4"/>
      <c r="I91" s="3"/>
    </row>
    <row r="92" spans="1:9" x14ac:dyDescent="0.35">
      <c r="A92" s="6" t="str">
        <f>IF(COUNTA(B92:D92)=3, VLOOKUP(B92, [1]Configuracion!$A$2:$B$7, 2, FALSE) &amp; "-" &amp; UPPER(LEFT(C92, 3)) &amp; "-" &amp; D92, "")</f>
        <v/>
      </c>
      <c r="B92" s="3"/>
      <c r="C92" s="2"/>
      <c r="D92" s="2"/>
      <c r="E92" s="2"/>
      <c r="F92" s="2"/>
      <c r="G92" s="3"/>
      <c r="H92" s="4"/>
      <c r="I92" s="3"/>
    </row>
    <row r="93" spans="1:9" x14ac:dyDescent="0.35">
      <c r="A93" s="6" t="str">
        <f>IF(COUNTA(B93:D93)=3, VLOOKUP(B93, [1]Configuracion!$A$2:$B$7, 2, FALSE) &amp; "-" &amp; UPPER(LEFT(C93, 3)) &amp; "-" &amp; D93, "")</f>
        <v/>
      </c>
      <c r="B93" s="3"/>
      <c r="C93" s="2"/>
      <c r="D93" s="2"/>
      <c r="E93" s="2"/>
      <c r="F93" s="2"/>
      <c r="G93" s="3"/>
      <c r="H93" s="4"/>
      <c r="I93" s="3"/>
    </row>
    <row r="94" spans="1:9" x14ac:dyDescent="0.35">
      <c r="A94" s="6" t="str">
        <f>IF(COUNTA(B94:D94)=3, VLOOKUP(B94, [1]Configuracion!$A$2:$B$7, 2, FALSE) &amp; "-" &amp; UPPER(LEFT(C94, 3)) &amp; "-" &amp; D94, "")</f>
        <v/>
      </c>
      <c r="B94" s="3"/>
      <c r="C94" s="2"/>
      <c r="D94" s="2"/>
      <c r="E94" s="2"/>
      <c r="F94" s="2"/>
      <c r="G94" s="3"/>
      <c r="H94" s="4"/>
      <c r="I94" s="3"/>
    </row>
    <row r="95" spans="1:9" x14ac:dyDescent="0.35">
      <c r="A95" s="6" t="str">
        <f>IF(COUNTA(B95:D95)=3, VLOOKUP(B95, [1]Configuracion!$A$2:$B$7, 2, FALSE) &amp; "-" &amp; UPPER(LEFT(C95, 3)) &amp; "-" &amp; D95, "")</f>
        <v/>
      </c>
      <c r="B95" s="3"/>
      <c r="C95" s="2"/>
      <c r="D95" s="2"/>
      <c r="E95" s="2"/>
      <c r="F95" s="2"/>
      <c r="G95" s="3"/>
      <c r="H95" s="4"/>
      <c r="I95" s="3"/>
    </row>
    <row r="96" spans="1:9" x14ac:dyDescent="0.35">
      <c r="A96" s="6" t="str">
        <f>IF(COUNTA(B96:D96)=3, VLOOKUP(B96, [1]Configuracion!$A$2:$B$7, 2, FALSE) &amp; "-" &amp; UPPER(LEFT(C96, 3)) &amp; "-" &amp; D96, "")</f>
        <v/>
      </c>
      <c r="B96" s="3"/>
      <c r="C96" s="2"/>
      <c r="D96" s="2"/>
      <c r="E96" s="2"/>
      <c r="F96" s="2"/>
      <c r="G96" s="3"/>
      <c r="H96" s="4"/>
      <c r="I96" s="3"/>
    </row>
    <row r="97" spans="1:9" x14ac:dyDescent="0.35">
      <c r="A97" s="6" t="str">
        <f>IF(COUNTA(B97:D97)=3, VLOOKUP(B97, [1]Configuracion!$A$2:$B$7, 2, FALSE) &amp; "-" &amp; UPPER(LEFT(C97, 3)) &amp; "-" &amp; D97, "")</f>
        <v/>
      </c>
      <c r="B97" s="3"/>
      <c r="C97" s="2"/>
      <c r="D97" s="2"/>
      <c r="E97" s="2"/>
      <c r="F97" s="2"/>
      <c r="G97" s="3"/>
      <c r="H97" s="4"/>
      <c r="I97" s="3"/>
    </row>
    <row r="98" spans="1:9" x14ac:dyDescent="0.35">
      <c r="A98" s="6" t="str">
        <f>IF(COUNTA(B98:D98)=3, VLOOKUP(B98, [1]Configuracion!$A$2:$B$7, 2, FALSE) &amp; "-" &amp; UPPER(LEFT(C98, 3)) &amp; "-" &amp; D98, "")</f>
        <v/>
      </c>
      <c r="B98" s="3"/>
      <c r="C98" s="2"/>
      <c r="D98" s="2"/>
      <c r="E98" s="2"/>
      <c r="F98" s="2"/>
      <c r="G98" s="3"/>
      <c r="H98" s="4"/>
      <c r="I98" s="3"/>
    </row>
    <row r="99" spans="1:9" x14ac:dyDescent="0.35">
      <c r="A99" s="6" t="str">
        <f>IF(COUNTA(B99:D99)=3, VLOOKUP(B99, [1]Configuracion!$A$2:$B$7, 2, FALSE) &amp; "-" &amp; UPPER(LEFT(C99, 3)) &amp; "-" &amp; D99, "")</f>
        <v/>
      </c>
      <c r="B99" s="3"/>
      <c r="C99" s="2"/>
      <c r="D99" s="2"/>
      <c r="E99" s="2"/>
      <c r="F99" s="2"/>
      <c r="G99" s="3"/>
      <c r="H99" s="4"/>
      <c r="I99" s="3"/>
    </row>
    <row r="100" spans="1:9" x14ac:dyDescent="0.35">
      <c r="A100" s="6" t="str">
        <f>IF(COUNTA(B100:D100)=3, VLOOKUP(B100, [1]Configuracion!$A$2:$B$7, 2, FALSE) &amp; "-" &amp; UPPER(LEFT(C100, 3)) &amp; "-" &amp; D100, "")</f>
        <v/>
      </c>
      <c r="B100" s="3"/>
      <c r="C100" s="2"/>
      <c r="D100" s="2"/>
      <c r="E100" s="2"/>
      <c r="F100" s="2"/>
      <c r="G100" s="3"/>
      <c r="H100" s="4"/>
      <c r="I100" s="3"/>
    </row>
    <row r="101" spans="1:9" x14ac:dyDescent="0.35">
      <c r="A101" s="6" t="str">
        <f>IF(COUNTA(B101:D101)=3, VLOOKUP(B101, [1]Configuracion!$A$2:$B$7, 2, FALSE) &amp; "-" &amp; UPPER(LEFT(C101, 3)) &amp; "-" &amp; D101, "")</f>
        <v/>
      </c>
      <c r="B101" s="3"/>
      <c r="C101" s="2"/>
      <c r="D101" s="2"/>
      <c r="E101" s="2"/>
      <c r="F101" s="2"/>
      <c r="G101" s="3"/>
      <c r="H101" s="4"/>
      <c r="I101" s="3"/>
    </row>
    <row r="102" spans="1:9" x14ac:dyDescent="0.35">
      <c r="A102" s="6" t="str">
        <f>IF(COUNTA(B102:D102)=3, VLOOKUP(B102, [1]Configuracion!$A$2:$B$7, 2, FALSE) &amp; "-" &amp; UPPER(LEFT(C102, 3)) &amp; "-" &amp; D102, "")</f>
        <v/>
      </c>
      <c r="B102" s="3"/>
      <c r="C102" s="2"/>
      <c r="D102" s="2"/>
      <c r="E102" s="2"/>
      <c r="F102" s="2"/>
      <c r="G102" s="3"/>
      <c r="H102" s="4"/>
      <c r="I102" s="3"/>
    </row>
    <row r="103" spans="1:9" x14ac:dyDescent="0.35">
      <c r="A103" s="6" t="str">
        <f>IF(COUNTA(B103:D103)=3, VLOOKUP(B103, [1]Configuracion!$A$2:$B$7, 2, FALSE) &amp; "-" &amp; UPPER(LEFT(C103, 3)) &amp; "-" &amp; D103, "")</f>
        <v/>
      </c>
      <c r="B103" s="3"/>
      <c r="C103" s="2"/>
      <c r="D103" s="2"/>
      <c r="E103" s="2"/>
      <c r="F103" s="2"/>
      <c r="G103" s="3"/>
      <c r="H103" s="4"/>
      <c r="I103" s="3"/>
    </row>
    <row r="104" spans="1:9" x14ac:dyDescent="0.35">
      <c r="A104" s="6" t="str">
        <f>IF(COUNTA(B104:D104)=3, VLOOKUP(B104, [1]Configuracion!$A$2:$B$7, 2, FALSE) &amp; "-" &amp; UPPER(LEFT(C104, 3)) &amp; "-" &amp; D104, "")</f>
        <v/>
      </c>
      <c r="B104" s="3"/>
      <c r="C104" s="2"/>
      <c r="D104" s="2"/>
      <c r="E104" s="2"/>
      <c r="F104" s="2"/>
      <c r="G104" s="3"/>
      <c r="H104" s="4"/>
      <c r="I104" s="3"/>
    </row>
    <row r="105" spans="1:9" x14ac:dyDescent="0.35">
      <c r="A105" s="6" t="str">
        <f>IF(COUNTA(B105:D105)=3, VLOOKUP(B105, [1]Configuracion!$A$2:$B$7, 2, FALSE) &amp; "-" &amp; UPPER(LEFT(C105, 3)) &amp; "-" &amp; D105, "")</f>
        <v/>
      </c>
      <c r="B105" s="3"/>
      <c r="C105" s="2"/>
      <c r="D105" s="2"/>
      <c r="E105" s="2"/>
      <c r="F105" s="2"/>
      <c r="G105" s="3"/>
      <c r="H105" s="4"/>
      <c r="I105" s="3"/>
    </row>
    <row r="106" spans="1:9" x14ac:dyDescent="0.35">
      <c r="A106" s="6" t="str">
        <f>IF(COUNTA(B106:D106)=3, VLOOKUP(B106, [1]Configuracion!$A$2:$B$7, 2, FALSE) &amp; "-" &amp; UPPER(LEFT(C106, 3)) &amp; "-" &amp; D106, "")</f>
        <v/>
      </c>
      <c r="B106" s="3"/>
      <c r="C106" s="2"/>
      <c r="D106" s="2"/>
      <c r="E106" s="2"/>
      <c r="F106" s="2"/>
      <c r="G106" s="3"/>
      <c r="H106" s="4"/>
      <c r="I106" s="3"/>
    </row>
    <row r="107" spans="1:9" x14ac:dyDescent="0.35">
      <c r="A107" s="6" t="str">
        <f>IF(COUNTA(B107:D107)=3, VLOOKUP(B107, [1]Configuracion!$A$2:$B$7, 2, FALSE) &amp; "-" &amp; UPPER(LEFT(C107, 3)) &amp; "-" &amp; D107, "")</f>
        <v/>
      </c>
      <c r="B107" s="3"/>
      <c r="C107" s="2"/>
      <c r="D107" s="2"/>
      <c r="E107" s="2"/>
      <c r="F107" s="2"/>
      <c r="G107" s="3"/>
      <c r="H107" s="4"/>
      <c r="I107" s="3"/>
    </row>
    <row r="108" spans="1:9" x14ac:dyDescent="0.35">
      <c r="A108" s="6" t="str">
        <f>IF(COUNTA(B108:D108)=3, VLOOKUP(B108, [1]Configuracion!$A$2:$B$7, 2, FALSE) &amp; "-" &amp; UPPER(LEFT(C108, 3)) &amp; "-" &amp; D108, "")</f>
        <v/>
      </c>
      <c r="B108" s="3"/>
      <c r="C108" s="2"/>
      <c r="D108" s="2"/>
      <c r="E108" s="2"/>
      <c r="F108" s="2"/>
      <c r="G108" s="3"/>
      <c r="H108" s="4"/>
      <c r="I108" s="3"/>
    </row>
    <row r="109" spans="1:9" x14ac:dyDescent="0.35">
      <c r="A109" s="6" t="str">
        <f>IF(COUNTA(B109:D109)=3, VLOOKUP(B109, [1]Configuracion!$A$2:$B$7, 2, FALSE) &amp; "-" &amp; UPPER(LEFT(C109, 3)) &amp; "-" &amp; D109, "")</f>
        <v/>
      </c>
      <c r="B109" s="3"/>
      <c r="C109" s="2"/>
      <c r="D109" s="2"/>
      <c r="E109" s="2"/>
      <c r="F109" s="2"/>
      <c r="G109" s="3"/>
      <c r="H109" s="4"/>
      <c r="I109" s="3"/>
    </row>
    <row r="110" spans="1:9" x14ac:dyDescent="0.35">
      <c r="A110" s="6" t="str">
        <f>IF(COUNTA(B110:D110)=3, VLOOKUP(B110, [1]Configuracion!$A$2:$B$7, 2, FALSE) &amp; "-" &amp; UPPER(LEFT(C110, 3)) &amp; "-" &amp; D110, "")</f>
        <v/>
      </c>
      <c r="B110" s="3"/>
      <c r="C110" s="2"/>
      <c r="D110" s="2"/>
      <c r="E110" s="2"/>
      <c r="F110" s="2"/>
      <c r="G110" s="3"/>
      <c r="H110" s="4"/>
      <c r="I110" s="3"/>
    </row>
    <row r="111" spans="1:9" x14ac:dyDescent="0.35">
      <c r="A111" s="6" t="str">
        <f>IF(COUNTA(B111:D111)=3, VLOOKUP(B111, [1]Configuracion!$A$2:$B$7, 2, FALSE) &amp; "-" &amp; UPPER(LEFT(C111, 3)) &amp; "-" &amp; D111, "")</f>
        <v/>
      </c>
      <c r="B111" s="3"/>
      <c r="C111" s="2"/>
      <c r="D111" s="2"/>
      <c r="E111" s="2"/>
      <c r="F111" s="2"/>
      <c r="G111" s="3"/>
      <c r="H111" s="4"/>
      <c r="I111" s="3"/>
    </row>
    <row r="112" spans="1:9" x14ac:dyDescent="0.35">
      <c r="A112" s="6" t="str">
        <f>IF(COUNTA(B112:D112)=3, VLOOKUP(B112, [1]Configuracion!$A$2:$B$7, 2, FALSE) &amp; "-" &amp; UPPER(LEFT(C112, 3)) &amp; "-" &amp; D112, "")</f>
        <v/>
      </c>
      <c r="B112" s="3"/>
      <c r="C112" s="2"/>
      <c r="D112" s="2"/>
      <c r="E112" s="2"/>
      <c r="F112" s="2"/>
      <c r="G112" s="3"/>
      <c r="H112" s="4"/>
      <c r="I112" s="3"/>
    </row>
    <row r="113" spans="1:9" x14ac:dyDescent="0.35">
      <c r="A113" s="6" t="str">
        <f>IF(COUNTA(B113:D113)=3, VLOOKUP(B113, [1]Configuracion!$A$2:$B$7, 2, FALSE) &amp; "-" &amp; UPPER(LEFT(C113, 3)) &amp; "-" &amp; D113, "")</f>
        <v/>
      </c>
      <c r="B113" s="3"/>
      <c r="C113" s="2"/>
      <c r="D113" s="2"/>
      <c r="E113" s="2"/>
      <c r="F113" s="2"/>
      <c r="G113" s="3"/>
      <c r="H113" s="4"/>
      <c r="I113" s="3"/>
    </row>
    <row r="114" spans="1:9" x14ac:dyDescent="0.35">
      <c r="A114" s="6" t="str">
        <f>IF(COUNTA(B114:D114)=3, VLOOKUP(B114, [1]Configuracion!$A$2:$B$7, 2, FALSE) &amp; "-" &amp; UPPER(LEFT(C114, 3)) &amp; "-" &amp; D114, "")</f>
        <v/>
      </c>
      <c r="B114" s="3"/>
      <c r="C114" s="2"/>
      <c r="D114" s="2"/>
      <c r="E114" s="2"/>
      <c r="F114" s="2"/>
      <c r="G114" s="3"/>
      <c r="H114" s="4"/>
      <c r="I114" s="3"/>
    </row>
    <row r="115" spans="1:9" x14ac:dyDescent="0.35">
      <c r="A115" s="6" t="str">
        <f>IF(COUNTA(B115:D115)=3, VLOOKUP(B115, [1]Configuracion!$A$2:$B$7, 2, FALSE) &amp; "-" &amp; UPPER(LEFT(C115, 3)) &amp; "-" &amp; D115, "")</f>
        <v/>
      </c>
      <c r="B115" s="3"/>
      <c r="C115" s="2"/>
      <c r="D115" s="2"/>
      <c r="E115" s="2"/>
      <c r="F115" s="2"/>
      <c r="G115" s="3"/>
      <c r="H115" s="4"/>
      <c r="I115" s="3"/>
    </row>
    <row r="116" spans="1:9" x14ac:dyDescent="0.35">
      <c r="A116" s="6" t="str">
        <f>IF(COUNTA(B116:D116)=3, VLOOKUP(B116, [1]Configuracion!$A$2:$B$7, 2, FALSE) &amp; "-" &amp; UPPER(LEFT(C116, 3)) &amp; "-" &amp; D116, "")</f>
        <v/>
      </c>
      <c r="B116" s="3"/>
      <c r="C116" s="2"/>
      <c r="D116" s="2"/>
      <c r="E116" s="2"/>
      <c r="F116" s="2"/>
      <c r="G116" s="3"/>
      <c r="H116" s="4"/>
      <c r="I116" s="3"/>
    </row>
    <row r="117" spans="1:9" x14ac:dyDescent="0.35">
      <c r="A117" s="6" t="str">
        <f>IF(COUNTA(B117:D117)=3, VLOOKUP(B117, [1]Configuracion!$A$2:$B$7, 2, FALSE) &amp; "-" &amp; UPPER(LEFT(C117, 3)) &amp; "-" &amp; D117, "")</f>
        <v/>
      </c>
      <c r="B117" s="3"/>
      <c r="C117" s="2"/>
      <c r="D117" s="2"/>
      <c r="E117" s="2"/>
      <c r="F117" s="2"/>
      <c r="G117" s="3"/>
      <c r="H117" s="4"/>
      <c r="I117" s="3"/>
    </row>
    <row r="118" spans="1:9" x14ac:dyDescent="0.35">
      <c r="A118" s="6" t="str">
        <f>IF(COUNTA(B118:D118)=3, VLOOKUP(B118, [1]Configuracion!$A$2:$B$7, 2, FALSE) &amp; "-" &amp; UPPER(LEFT(C118, 3)) &amp; "-" &amp; D118, "")</f>
        <v/>
      </c>
      <c r="B118" s="3"/>
      <c r="C118" s="2"/>
      <c r="D118" s="2"/>
      <c r="E118" s="2"/>
      <c r="F118" s="2"/>
      <c r="G118" s="3"/>
      <c r="H118" s="4"/>
      <c r="I118" s="3"/>
    </row>
    <row r="119" spans="1:9" x14ac:dyDescent="0.35">
      <c r="A119" s="6" t="str">
        <f>IF(COUNTA(B119:D119)=3, VLOOKUP(B119, [1]Configuracion!$A$2:$B$7, 2, FALSE) &amp; "-" &amp; UPPER(LEFT(C119, 3)) &amp; "-" &amp; D119, "")</f>
        <v/>
      </c>
      <c r="B119" s="3"/>
      <c r="C119" s="2"/>
      <c r="D119" s="2"/>
      <c r="E119" s="2"/>
      <c r="F119" s="2"/>
      <c r="G119" s="3"/>
      <c r="H119" s="4"/>
      <c r="I119" s="3"/>
    </row>
    <row r="120" spans="1:9" x14ac:dyDescent="0.35">
      <c r="A120" s="6" t="str">
        <f>IF(COUNTA(B120:D120)=3, VLOOKUP(B120, [1]Configuracion!$A$2:$B$7, 2, FALSE) &amp; "-" &amp; UPPER(LEFT(C120, 3)) &amp; "-" &amp; D120, "")</f>
        <v/>
      </c>
      <c r="B120" s="3"/>
      <c r="C120" s="2"/>
      <c r="D120" s="2"/>
      <c r="E120" s="2"/>
      <c r="F120" s="2"/>
      <c r="G120" s="3"/>
      <c r="H120" s="4"/>
      <c r="I120" s="3"/>
    </row>
    <row r="121" spans="1:9" x14ac:dyDescent="0.35">
      <c r="A121" s="6" t="str">
        <f>IF(COUNTA(B121:D121)=3, VLOOKUP(B121, [1]Configuracion!$A$2:$B$7, 2, FALSE) &amp; "-" &amp; UPPER(LEFT(C121, 3)) &amp; "-" &amp; D121, "")</f>
        <v/>
      </c>
      <c r="B121" s="3"/>
      <c r="C121" s="2"/>
      <c r="D121" s="2"/>
      <c r="E121" s="2"/>
      <c r="F121" s="2"/>
      <c r="G121" s="3"/>
      <c r="H121" s="4"/>
      <c r="I121" s="3"/>
    </row>
    <row r="122" spans="1:9" x14ac:dyDescent="0.35">
      <c r="A122" s="6" t="str">
        <f>IF(COUNTA(B122:D122)=3, VLOOKUP(B122, [1]Configuracion!$A$2:$B$7, 2, FALSE) &amp; "-" &amp; UPPER(LEFT(C122, 3)) &amp; "-" &amp; D122, "")</f>
        <v/>
      </c>
      <c r="B122" s="3"/>
      <c r="C122" s="2"/>
      <c r="D122" s="2"/>
      <c r="E122" s="2"/>
      <c r="F122" s="2"/>
      <c r="G122" s="3"/>
      <c r="H122" s="4"/>
      <c r="I122" s="3"/>
    </row>
    <row r="123" spans="1:9" x14ac:dyDescent="0.35">
      <c r="A123" s="6" t="str">
        <f>IF(COUNTA(B123:D123)=3, VLOOKUP(B123, [1]Configuracion!$A$2:$B$7, 2, FALSE) &amp; "-" &amp; UPPER(LEFT(C123, 3)) &amp; "-" &amp; D123, "")</f>
        <v/>
      </c>
      <c r="B123" s="3"/>
      <c r="C123" s="2"/>
      <c r="D123" s="2"/>
      <c r="E123" s="2"/>
      <c r="F123" s="2"/>
      <c r="G123" s="3"/>
      <c r="H123" s="4"/>
      <c r="I123" s="3"/>
    </row>
    <row r="124" spans="1:9" x14ac:dyDescent="0.35">
      <c r="A124" s="6" t="str">
        <f>IF(COUNTA(B124:D124)=3, VLOOKUP(B124, [1]Configuracion!$A$2:$B$7, 2, FALSE) &amp; "-" &amp; UPPER(LEFT(C124, 3)) &amp; "-" &amp; D124, "")</f>
        <v/>
      </c>
      <c r="B124" s="3"/>
      <c r="C124" s="2"/>
      <c r="D124" s="2"/>
      <c r="E124" s="2"/>
      <c r="F124" s="2"/>
      <c r="G124" s="3"/>
      <c r="H124" s="4"/>
      <c r="I124" s="3"/>
    </row>
    <row r="125" spans="1:9" x14ac:dyDescent="0.35">
      <c r="A125" s="6" t="str">
        <f>IF(COUNTA(B125:D125)=3, VLOOKUP(B125, [1]Configuracion!$A$2:$B$7, 2, FALSE) &amp; "-" &amp; UPPER(LEFT(C125, 3)) &amp; "-" &amp; D125, "")</f>
        <v/>
      </c>
      <c r="B125" s="3"/>
      <c r="C125" s="2"/>
      <c r="D125" s="2"/>
      <c r="E125" s="2"/>
      <c r="F125" s="2"/>
      <c r="G125" s="3"/>
      <c r="H125" s="4"/>
      <c r="I125" s="3"/>
    </row>
    <row r="126" spans="1:9" x14ac:dyDescent="0.35">
      <c r="A126" s="6" t="str">
        <f>IF(COUNTA(B126:D126)=3, VLOOKUP(B126, [1]Configuracion!$A$2:$B$7, 2, FALSE) &amp; "-" &amp; UPPER(LEFT(C126, 3)) &amp; "-" &amp; D126, "")</f>
        <v/>
      </c>
      <c r="B126" s="3"/>
      <c r="C126" s="2"/>
      <c r="D126" s="2"/>
      <c r="E126" s="2"/>
      <c r="F126" s="2"/>
      <c r="G126" s="3"/>
      <c r="H126" s="4"/>
      <c r="I126" s="3"/>
    </row>
    <row r="127" spans="1:9" x14ac:dyDescent="0.35">
      <c r="A127" s="6" t="str">
        <f>IF(COUNTA(B127:D127)=3, VLOOKUP(B127, [1]Configuracion!$A$2:$B$7, 2, FALSE) &amp; "-" &amp; UPPER(LEFT(C127, 3)) &amp; "-" &amp; D127, "")</f>
        <v/>
      </c>
      <c r="B127" s="3"/>
      <c r="C127" s="2"/>
      <c r="D127" s="2"/>
      <c r="E127" s="2"/>
      <c r="F127" s="2"/>
      <c r="G127" s="3"/>
      <c r="H127" s="4"/>
      <c r="I127" s="3"/>
    </row>
    <row r="128" spans="1:9" x14ac:dyDescent="0.35">
      <c r="A128" s="6" t="str">
        <f>IF(COUNTA(B128:D128)=3, VLOOKUP(B128, [1]Configuracion!$A$2:$B$7, 2, FALSE) &amp; "-" &amp; UPPER(LEFT(C128, 3)) &amp; "-" &amp; D128, "")</f>
        <v/>
      </c>
      <c r="B128" s="3"/>
      <c r="C128" s="2"/>
      <c r="D128" s="2"/>
      <c r="E128" s="2"/>
      <c r="F128" s="2"/>
      <c r="G128" s="3"/>
      <c r="H128" s="4"/>
      <c r="I128" s="3"/>
    </row>
    <row r="129" spans="1:9" x14ac:dyDescent="0.35">
      <c r="A129" s="6" t="str">
        <f>IF(COUNTA(B129:D129)=3, VLOOKUP(B129, [1]Configuracion!$A$2:$B$7, 2, FALSE) &amp; "-" &amp; UPPER(LEFT(C129, 3)) &amp; "-" &amp; D129, "")</f>
        <v/>
      </c>
      <c r="B129" s="3"/>
      <c r="C129" s="2"/>
      <c r="D129" s="2"/>
      <c r="E129" s="2"/>
      <c r="F129" s="2"/>
      <c r="G129" s="3"/>
      <c r="H129" s="4"/>
      <c r="I129" s="3"/>
    </row>
    <row r="130" spans="1:9" x14ac:dyDescent="0.35">
      <c r="A130" s="6" t="str">
        <f>IF(COUNTA(B130:D130)=3, VLOOKUP(B130, [1]Configuracion!$A$2:$B$7, 2, FALSE) &amp; "-" &amp; UPPER(LEFT(C130, 3)) &amp; "-" &amp; D130, "")</f>
        <v/>
      </c>
      <c r="B130" s="3"/>
      <c r="C130" s="2"/>
      <c r="D130" s="2"/>
      <c r="E130" s="2"/>
      <c r="F130" s="2"/>
      <c r="G130" s="3"/>
      <c r="H130" s="4"/>
      <c r="I130" s="3"/>
    </row>
    <row r="131" spans="1:9" x14ac:dyDescent="0.35">
      <c r="A131" s="6" t="str">
        <f>IF(COUNTA(B131:D131)=3, VLOOKUP(B131, [1]Configuracion!$A$2:$B$7, 2, FALSE) &amp; "-" &amp; UPPER(LEFT(C131, 3)) &amp; "-" &amp; D131, "")</f>
        <v/>
      </c>
      <c r="B131" s="3"/>
      <c r="C131" s="2"/>
      <c r="D131" s="2"/>
      <c r="E131" s="2"/>
      <c r="F131" s="2"/>
      <c r="G131" s="3"/>
      <c r="H131" s="4"/>
      <c r="I131" s="3"/>
    </row>
    <row r="132" spans="1:9" x14ac:dyDescent="0.35">
      <c r="A132" s="6" t="str">
        <f>IF(COUNTA(B132:D132)=3, VLOOKUP(B132, [1]Configuracion!$A$2:$B$7, 2, FALSE) &amp; "-" &amp; UPPER(LEFT(C132, 3)) &amp; "-" &amp; D132, "")</f>
        <v/>
      </c>
      <c r="B132" s="3"/>
      <c r="C132" s="2"/>
      <c r="D132" s="2"/>
      <c r="E132" s="2"/>
      <c r="F132" s="2"/>
      <c r="G132" s="3"/>
      <c r="H132" s="4"/>
      <c r="I132" s="3"/>
    </row>
    <row r="133" spans="1:9" x14ac:dyDescent="0.35">
      <c r="A133" s="6" t="str">
        <f>IF(COUNTA(B133:D133)=3, VLOOKUP(B133, [1]Configuracion!$A$2:$B$7, 2, FALSE) &amp; "-" &amp; UPPER(LEFT(C133, 3)) &amp; "-" &amp; D133, "")</f>
        <v/>
      </c>
      <c r="B133" s="3"/>
      <c r="C133" s="2"/>
      <c r="D133" s="2"/>
      <c r="E133" s="2"/>
      <c r="F133" s="2"/>
      <c r="G133" s="3"/>
      <c r="H133" s="4"/>
      <c r="I133" s="3"/>
    </row>
    <row r="134" spans="1:9" x14ac:dyDescent="0.35">
      <c r="A134" s="6" t="str">
        <f>IF(COUNTA(B134:D134)=3, VLOOKUP(B134, [1]Configuracion!$A$2:$B$7, 2, FALSE) &amp; "-" &amp; UPPER(LEFT(C134, 3)) &amp; "-" &amp; D134, "")</f>
        <v/>
      </c>
      <c r="B134" s="3"/>
      <c r="C134" s="2"/>
      <c r="D134" s="2"/>
      <c r="E134" s="2"/>
      <c r="F134" s="2"/>
      <c r="G134" s="3"/>
      <c r="H134" s="4"/>
      <c r="I134" s="3"/>
    </row>
    <row r="135" spans="1:9" x14ac:dyDescent="0.35">
      <c r="A135" s="6" t="str">
        <f>IF(COUNTA(B135:D135)=3, VLOOKUP(B135, [1]Configuracion!$A$2:$B$7, 2, FALSE) &amp; "-" &amp; UPPER(LEFT(C135, 3)) &amp; "-" &amp; D135, "")</f>
        <v/>
      </c>
      <c r="B135" s="3"/>
      <c r="C135" s="2"/>
      <c r="D135" s="2"/>
      <c r="E135" s="2"/>
      <c r="F135" s="2"/>
      <c r="G135" s="3"/>
      <c r="H135" s="4"/>
      <c r="I135" s="3"/>
    </row>
    <row r="136" spans="1:9" x14ac:dyDescent="0.35">
      <c r="A136" s="6" t="str">
        <f>IF(COUNTA(B136:D136)=3, VLOOKUP(B136, [1]Configuracion!$A$2:$B$7, 2, FALSE) &amp; "-" &amp; UPPER(LEFT(C136, 3)) &amp; "-" &amp; D136, "")</f>
        <v/>
      </c>
      <c r="B136" s="3"/>
      <c r="C136" s="2"/>
      <c r="D136" s="2"/>
      <c r="E136" s="2"/>
      <c r="F136" s="2"/>
      <c r="G136" s="3"/>
      <c r="H136" s="4"/>
      <c r="I136" s="3"/>
    </row>
    <row r="137" spans="1:9" x14ac:dyDescent="0.35">
      <c r="A137" s="6" t="str">
        <f>IF(COUNTA(B137:D137)=3, VLOOKUP(B137, [1]Configuracion!$A$2:$B$7, 2, FALSE) &amp; "-" &amp; UPPER(LEFT(C137, 3)) &amp; "-" &amp; D137, "")</f>
        <v/>
      </c>
      <c r="B137" s="3"/>
      <c r="C137" s="2"/>
      <c r="D137" s="2"/>
      <c r="E137" s="2"/>
      <c r="F137" s="2"/>
      <c r="G137" s="3"/>
      <c r="H137" s="4"/>
      <c r="I137" s="3"/>
    </row>
    <row r="138" spans="1:9" x14ac:dyDescent="0.35">
      <c r="A138" s="6" t="str">
        <f>IF(COUNTA(B138:D138)=3, VLOOKUP(B138, [1]Configuracion!$A$2:$B$7, 2, FALSE) &amp; "-" &amp; UPPER(LEFT(C138, 3)) &amp; "-" &amp; D138, "")</f>
        <v/>
      </c>
      <c r="B138" s="3"/>
      <c r="C138" s="2"/>
      <c r="D138" s="2"/>
      <c r="E138" s="2"/>
      <c r="F138" s="2"/>
      <c r="G138" s="3"/>
      <c r="H138" s="4"/>
      <c r="I138" s="3"/>
    </row>
    <row r="139" spans="1:9" x14ac:dyDescent="0.35">
      <c r="A139" s="6" t="str">
        <f>IF(COUNTA(B139:D139)=3, VLOOKUP(B139, [1]Configuracion!$A$2:$B$7, 2, FALSE) &amp; "-" &amp; UPPER(LEFT(C139, 3)) &amp; "-" &amp; D139, "")</f>
        <v/>
      </c>
      <c r="B139" s="3"/>
      <c r="C139" s="2"/>
      <c r="D139" s="2"/>
      <c r="E139" s="2"/>
      <c r="F139" s="2"/>
      <c r="G139" s="3"/>
      <c r="H139" s="4"/>
      <c r="I139" s="3"/>
    </row>
    <row r="140" spans="1:9" x14ac:dyDescent="0.35">
      <c r="A140" s="6" t="str">
        <f>IF(COUNTA(B140:D140)=3, VLOOKUP(B140, [1]Configuracion!$A$2:$B$7, 2, FALSE) &amp; "-" &amp; UPPER(LEFT(C140, 3)) &amp; "-" &amp; D140, "")</f>
        <v/>
      </c>
      <c r="B140" s="3"/>
      <c r="C140" s="2"/>
      <c r="D140" s="2"/>
      <c r="E140" s="2"/>
      <c r="F140" s="2"/>
      <c r="G140" s="3"/>
      <c r="H140" s="4"/>
      <c r="I140" s="3"/>
    </row>
    <row r="141" spans="1:9" x14ac:dyDescent="0.35">
      <c r="A141" s="6" t="str">
        <f>IF(COUNTA(B141:D141)=3, VLOOKUP(B141, [1]Configuracion!$A$2:$B$7, 2, FALSE) &amp; "-" &amp; UPPER(LEFT(C141, 3)) &amp; "-" &amp; D141, "")</f>
        <v/>
      </c>
      <c r="B141" s="3"/>
      <c r="C141" s="2"/>
      <c r="D141" s="2"/>
      <c r="E141" s="2"/>
      <c r="F141" s="2"/>
      <c r="G141" s="3"/>
      <c r="H141" s="4"/>
      <c r="I141" s="3"/>
    </row>
    <row r="142" spans="1:9" x14ac:dyDescent="0.35">
      <c r="A142" s="6" t="str">
        <f>IF(COUNTA(B142:D142)=3, VLOOKUP(B142, [1]Configuracion!$A$2:$B$7, 2, FALSE) &amp; "-" &amp; UPPER(LEFT(C142, 3)) &amp; "-" &amp; D142, "")</f>
        <v/>
      </c>
      <c r="B142" s="3"/>
      <c r="C142" s="2"/>
      <c r="D142" s="2"/>
      <c r="E142" s="2"/>
      <c r="F142" s="2"/>
      <c r="G142" s="3"/>
      <c r="H142" s="4"/>
      <c r="I142" s="3"/>
    </row>
    <row r="143" spans="1:9" x14ac:dyDescent="0.35">
      <c r="A143" s="6" t="str">
        <f>IF(COUNTA(B143:D143)=3, VLOOKUP(B143, [1]Configuracion!$A$2:$B$7, 2, FALSE) &amp; "-" &amp; UPPER(LEFT(C143, 3)) &amp; "-" &amp; D143, "")</f>
        <v/>
      </c>
      <c r="B143" s="3"/>
      <c r="C143" s="2"/>
      <c r="D143" s="2"/>
      <c r="E143" s="2"/>
      <c r="F143" s="2"/>
      <c r="G143" s="3"/>
      <c r="H143" s="4"/>
      <c r="I143" s="3"/>
    </row>
    <row r="144" spans="1:9" x14ac:dyDescent="0.35">
      <c r="A144" s="6" t="str">
        <f>IF(COUNTA(B144:D144)=3, VLOOKUP(B144, [1]Configuracion!$A$2:$B$7, 2, FALSE) &amp; "-" &amp; UPPER(LEFT(C144, 3)) &amp; "-" &amp; D144, "")</f>
        <v/>
      </c>
      <c r="B144" s="3"/>
      <c r="C144" s="2"/>
      <c r="D144" s="2"/>
      <c r="E144" s="2"/>
      <c r="F144" s="2"/>
      <c r="G144" s="3"/>
      <c r="H144" s="4"/>
      <c r="I144" s="3"/>
    </row>
    <row r="145" spans="1:9" x14ac:dyDescent="0.35">
      <c r="A145" s="6" t="str">
        <f>IF(COUNTA(B145:D145)=3, VLOOKUP(B145, [1]Configuracion!$A$2:$B$7, 2, FALSE) &amp; "-" &amp; UPPER(LEFT(C145, 3)) &amp; "-" &amp; D145, "")</f>
        <v/>
      </c>
      <c r="B145" s="3"/>
      <c r="C145" s="2"/>
      <c r="D145" s="2"/>
      <c r="E145" s="2"/>
      <c r="F145" s="2"/>
      <c r="G145" s="3"/>
      <c r="H145" s="4"/>
      <c r="I145" s="3"/>
    </row>
    <row r="146" spans="1:9" x14ac:dyDescent="0.35">
      <c r="A146" s="6" t="str">
        <f>IF(COUNTA(B146:D146)=3, VLOOKUP(B146, [1]Configuracion!$A$2:$B$7, 2, FALSE) &amp; "-" &amp; UPPER(LEFT(C146, 3)) &amp; "-" &amp; D146, "")</f>
        <v/>
      </c>
      <c r="B146" s="3"/>
      <c r="C146" s="2"/>
      <c r="D146" s="2"/>
      <c r="E146" s="2"/>
      <c r="F146" s="2"/>
      <c r="G146" s="3"/>
      <c r="H146" s="4"/>
      <c r="I146" s="3"/>
    </row>
    <row r="147" spans="1:9" x14ac:dyDescent="0.35">
      <c r="A147" s="6" t="str">
        <f>IF(COUNTA(B147:D147)=3, VLOOKUP(B147, [1]Configuracion!$A$2:$B$7, 2, FALSE) &amp; "-" &amp; UPPER(LEFT(C147, 3)) &amp; "-" &amp; D147, "")</f>
        <v/>
      </c>
      <c r="B147" s="3"/>
      <c r="C147" s="2"/>
      <c r="D147" s="2"/>
      <c r="E147" s="2"/>
      <c r="F147" s="2"/>
      <c r="G147" s="3"/>
      <c r="H147" s="4"/>
      <c r="I147" s="3"/>
    </row>
    <row r="148" spans="1:9" x14ac:dyDescent="0.35">
      <c r="A148" s="6" t="str">
        <f>IF(COUNTA(B148:D148)=3, VLOOKUP(B148, [1]Configuracion!$A$2:$B$7, 2, FALSE) &amp; "-" &amp; UPPER(LEFT(C148, 3)) &amp; "-" &amp; D148, "")</f>
        <v/>
      </c>
      <c r="B148" s="3"/>
      <c r="C148" s="2"/>
      <c r="D148" s="2"/>
      <c r="E148" s="2"/>
      <c r="F148" s="2"/>
      <c r="G148" s="3"/>
      <c r="H148" s="4"/>
      <c r="I148" s="3"/>
    </row>
    <row r="149" spans="1:9" x14ac:dyDescent="0.35">
      <c r="A149" s="6" t="str">
        <f>IF(COUNTA(B149:D149)=3, VLOOKUP(B149, [1]Configuracion!$A$2:$B$7, 2, FALSE) &amp; "-" &amp; UPPER(LEFT(C149, 3)) &amp; "-" &amp; D149, "")</f>
        <v/>
      </c>
      <c r="B149" s="3"/>
      <c r="C149" s="2"/>
      <c r="D149" s="2"/>
      <c r="E149" s="2"/>
      <c r="F149" s="2"/>
      <c r="G149" s="3"/>
      <c r="H149" s="4"/>
      <c r="I149" s="3"/>
    </row>
    <row r="150" spans="1:9" x14ac:dyDescent="0.35">
      <c r="A150" s="6" t="str">
        <f>IF(COUNTA(B150:D150)=3, VLOOKUP(B150, [1]Configuracion!$A$2:$B$7, 2, FALSE) &amp; "-" &amp; UPPER(LEFT(C150, 3)) &amp; "-" &amp; D150, "")</f>
        <v/>
      </c>
      <c r="B150" s="3"/>
      <c r="C150" s="2"/>
      <c r="D150" s="2"/>
      <c r="E150" s="2"/>
      <c r="F150" s="2"/>
      <c r="G150" s="3"/>
      <c r="H150" s="4"/>
      <c r="I150" s="3"/>
    </row>
    <row r="151" spans="1:9" x14ac:dyDescent="0.35">
      <c r="A151" s="6" t="str">
        <f>IF(COUNTA(B151:D151)=3, VLOOKUP(B151, [1]Configuracion!$A$2:$B$7, 2, FALSE) &amp; "-" &amp; UPPER(LEFT(C151, 3)) &amp; "-" &amp; D151, "")</f>
        <v/>
      </c>
      <c r="B151" s="3"/>
      <c r="C151" s="2"/>
      <c r="D151" s="2"/>
      <c r="E151" s="2"/>
      <c r="F151" s="2"/>
      <c r="G151" s="3"/>
      <c r="H151" s="4"/>
      <c r="I151" s="3"/>
    </row>
    <row r="152" spans="1:9" x14ac:dyDescent="0.35">
      <c r="A152" s="6" t="str">
        <f>IF(COUNTA(B152:D152)=3, VLOOKUP(B152, [1]Configuracion!$A$2:$B$7, 2, FALSE) &amp; "-" &amp; UPPER(LEFT(C152, 3)) &amp; "-" &amp; D152, "")</f>
        <v/>
      </c>
      <c r="B152" s="3"/>
      <c r="C152" s="2"/>
      <c r="D152" s="2"/>
      <c r="E152" s="2"/>
      <c r="F152" s="2"/>
      <c r="G152" s="3"/>
      <c r="H152" s="4"/>
      <c r="I152" s="3"/>
    </row>
    <row r="153" spans="1:9" x14ac:dyDescent="0.35">
      <c r="A153" s="6" t="str">
        <f>IF(COUNTA(B153:D153)=3, VLOOKUP(B153, [1]Configuracion!$A$2:$B$7, 2, FALSE) &amp; "-" &amp; UPPER(LEFT(C153, 3)) &amp; "-" &amp; D153, "")</f>
        <v/>
      </c>
      <c r="B153" s="3"/>
      <c r="C153" s="2"/>
      <c r="D153" s="2"/>
      <c r="E153" s="2"/>
      <c r="F153" s="2"/>
      <c r="G153" s="3"/>
      <c r="H153" s="4"/>
      <c r="I153" s="3"/>
    </row>
    <row r="154" spans="1:9" x14ac:dyDescent="0.35">
      <c r="A154" s="6" t="str">
        <f>IF(COUNTA(B154:D154)=3, VLOOKUP(B154, [1]Configuracion!$A$2:$B$7, 2, FALSE) &amp; "-" &amp; UPPER(LEFT(C154, 3)) &amp; "-" &amp; D154, "")</f>
        <v/>
      </c>
      <c r="B154" s="3"/>
      <c r="C154" s="2"/>
      <c r="D154" s="2"/>
      <c r="E154" s="2"/>
      <c r="F154" s="2"/>
      <c r="G154" s="3"/>
      <c r="H154" s="4"/>
      <c r="I154" s="3"/>
    </row>
    <row r="155" spans="1:9" x14ac:dyDescent="0.35">
      <c r="A155" s="6" t="str">
        <f>IF(COUNTA(B155:D155)=3, VLOOKUP(B155, [1]Configuracion!$A$2:$B$7, 2, FALSE) &amp; "-" &amp; UPPER(LEFT(C155, 3)) &amp; "-" &amp; D155, "")</f>
        <v/>
      </c>
      <c r="B155" s="3"/>
      <c r="C155" s="2"/>
      <c r="D155" s="2"/>
      <c r="E155" s="2"/>
      <c r="F155" s="2"/>
      <c r="G155" s="3"/>
      <c r="H155" s="4"/>
      <c r="I155" s="3"/>
    </row>
    <row r="156" spans="1:9" x14ac:dyDescent="0.35">
      <c r="A156" s="6" t="str">
        <f>IF(COUNTA(B156:D156)=3, VLOOKUP(B156, [1]Configuracion!$A$2:$B$7, 2, FALSE) &amp; "-" &amp; UPPER(LEFT(C156, 3)) &amp; "-" &amp; D156, "")</f>
        <v/>
      </c>
      <c r="B156" s="3"/>
      <c r="C156" s="2"/>
      <c r="D156" s="2"/>
      <c r="E156" s="2"/>
      <c r="F156" s="2"/>
      <c r="G156" s="3"/>
      <c r="H156" s="4"/>
      <c r="I156" s="3"/>
    </row>
    <row r="157" spans="1:9" x14ac:dyDescent="0.35">
      <c r="A157" s="6" t="str">
        <f>IF(COUNTA(B157:D157)=3, VLOOKUP(B157, [1]Configuracion!$A$2:$B$7, 2, FALSE) &amp; "-" &amp; UPPER(LEFT(C157, 3)) &amp; "-" &amp; D157, "")</f>
        <v/>
      </c>
      <c r="B157" s="3"/>
      <c r="C157" s="2"/>
      <c r="D157" s="2"/>
      <c r="E157" s="2"/>
      <c r="F157" s="2"/>
      <c r="G157" s="3"/>
      <c r="H157" s="4"/>
      <c r="I157" s="3"/>
    </row>
    <row r="158" spans="1:9" x14ac:dyDescent="0.35">
      <c r="A158" s="6" t="str">
        <f>IF(COUNTA(B158:D158)=3, VLOOKUP(B158, [1]Configuracion!$A$2:$B$7, 2, FALSE) &amp; "-" &amp; UPPER(LEFT(C158, 3)) &amp; "-" &amp; D158, "")</f>
        <v/>
      </c>
      <c r="B158" s="3"/>
      <c r="C158" s="2"/>
      <c r="D158" s="2"/>
      <c r="E158" s="2"/>
      <c r="F158" s="2"/>
      <c r="G158" s="3"/>
      <c r="H158" s="4"/>
      <c r="I158" s="3"/>
    </row>
    <row r="159" spans="1:9" x14ac:dyDescent="0.35">
      <c r="A159" s="6" t="str">
        <f>IF(COUNTA(B159:D159)=3, VLOOKUP(B159, [1]Configuracion!$A$2:$B$7, 2, FALSE) &amp; "-" &amp; UPPER(LEFT(C159, 3)) &amp; "-" &amp; D159, "")</f>
        <v/>
      </c>
      <c r="B159" s="3"/>
      <c r="C159" s="2"/>
      <c r="D159" s="2"/>
      <c r="E159" s="2"/>
      <c r="F159" s="2"/>
      <c r="G159" s="3"/>
      <c r="H159" s="4"/>
      <c r="I159" s="3"/>
    </row>
    <row r="160" spans="1:9" x14ac:dyDescent="0.35">
      <c r="A160" s="6" t="str">
        <f>IF(COUNTA(B160:D160)=3, VLOOKUP(B160, [1]Configuracion!$A$2:$B$7, 2, FALSE) &amp; "-" &amp; UPPER(LEFT(C160, 3)) &amp; "-" &amp; D160, "")</f>
        <v/>
      </c>
      <c r="B160" s="3"/>
      <c r="C160" s="2"/>
      <c r="D160" s="2"/>
      <c r="E160" s="2"/>
      <c r="F160" s="2"/>
      <c r="G160" s="3"/>
      <c r="H160" s="4"/>
      <c r="I160" s="3"/>
    </row>
    <row r="161" spans="1:9" x14ac:dyDescent="0.35">
      <c r="A161" s="6" t="str">
        <f>IF(COUNTA(B161:D161)=3, VLOOKUP(B161, [1]Configuracion!$A$2:$B$7, 2, FALSE) &amp; "-" &amp; UPPER(LEFT(C161, 3)) &amp; "-" &amp; D161, "")</f>
        <v/>
      </c>
      <c r="B161" s="3"/>
      <c r="C161" s="2"/>
      <c r="D161" s="2"/>
      <c r="E161" s="2"/>
      <c r="F161" s="2"/>
      <c r="G161" s="3"/>
      <c r="H161" s="4"/>
      <c r="I161" s="3"/>
    </row>
    <row r="162" spans="1:9" x14ac:dyDescent="0.35">
      <c r="A162" s="6" t="str">
        <f>IF(COUNTA(B162:D162)=3, VLOOKUP(B162, [1]Configuracion!$A$2:$B$7, 2, FALSE) &amp; "-" &amp; UPPER(LEFT(C162, 3)) &amp; "-" &amp; D162, "")</f>
        <v/>
      </c>
      <c r="B162" s="3"/>
      <c r="C162" s="2"/>
      <c r="D162" s="2"/>
      <c r="E162" s="2"/>
      <c r="F162" s="2"/>
      <c r="G162" s="3"/>
      <c r="H162" s="4"/>
      <c r="I162" s="3"/>
    </row>
    <row r="163" spans="1:9" x14ac:dyDescent="0.35">
      <c r="A163" s="6" t="str">
        <f>IF(COUNTA(B163:D163)=3, VLOOKUP(B163, [1]Configuracion!$A$2:$B$7, 2, FALSE) &amp; "-" &amp; UPPER(LEFT(C163, 3)) &amp; "-" &amp; D163, "")</f>
        <v/>
      </c>
      <c r="B163" s="3"/>
      <c r="C163" s="2"/>
      <c r="D163" s="2"/>
      <c r="E163" s="2"/>
      <c r="F163" s="2"/>
      <c r="G163" s="3"/>
      <c r="H163" s="4"/>
      <c r="I163" s="3"/>
    </row>
    <row r="164" spans="1:9" x14ac:dyDescent="0.35">
      <c r="A164" s="6" t="str">
        <f>IF(COUNTA(B164:D164)=3, VLOOKUP(B164, [1]Configuracion!$A$2:$B$7, 2, FALSE) &amp; "-" &amp; UPPER(LEFT(C164, 3)) &amp; "-" &amp; D164, "")</f>
        <v/>
      </c>
      <c r="B164" s="3"/>
      <c r="C164" s="2"/>
      <c r="D164" s="2"/>
      <c r="E164" s="2"/>
      <c r="F164" s="2"/>
      <c r="G164" s="3"/>
      <c r="H164" s="4"/>
      <c r="I164" s="3"/>
    </row>
    <row r="165" spans="1:9" x14ac:dyDescent="0.35">
      <c r="A165" s="6" t="str">
        <f>IF(COUNTA(B165:D165)=3, VLOOKUP(B165, [1]Configuracion!$A$2:$B$7, 2, FALSE) &amp; "-" &amp; UPPER(LEFT(C165, 3)) &amp; "-" &amp; D165, "")</f>
        <v/>
      </c>
      <c r="B165" s="3"/>
      <c r="C165" s="2"/>
      <c r="D165" s="2"/>
      <c r="E165" s="2"/>
      <c r="F165" s="2"/>
      <c r="G165" s="3"/>
      <c r="H165" s="4"/>
      <c r="I165" s="3"/>
    </row>
    <row r="166" spans="1:9" x14ac:dyDescent="0.35">
      <c r="A166" s="6" t="str">
        <f>IF(COUNTA(B166:D166)=3, VLOOKUP(B166, [1]Configuracion!$A$2:$B$7, 2, FALSE) &amp; "-" &amp; UPPER(LEFT(C166, 3)) &amp; "-" &amp; D166, "")</f>
        <v/>
      </c>
      <c r="B166" s="3"/>
      <c r="C166" s="2"/>
      <c r="D166" s="2"/>
      <c r="E166" s="2"/>
      <c r="F166" s="2"/>
      <c r="G166" s="3"/>
      <c r="H166" s="4"/>
      <c r="I166" s="3"/>
    </row>
    <row r="167" spans="1:9" x14ac:dyDescent="0.35">
      <c r="A167" s="6" t="str">
        <f>IF(COUNTA(B167:D167)=3, VLOOKUP(B167, [1]Configuracion!$A$2:$B$7, 2, FALSE) &amp; "-" &amp; UPPER(LEFT(C167, 3)) &amp; "-" &amp; D167, "")</f>
        <v/>
      </c>
      <c r="B167" s="3"/>
      <c r="C167" s="2"/>
      <c r="D167" s="2"/>
      <c r="E167" s="2"/>
      <c r="F167" s="2"/>
      <c r="G167" s="3"/>
      <c r="H167" s="4"/>
      <c r="I167" s="3"/>
    </row>
    <row r="168" spans="1:9" x14ac:dyDescent="0.35">
      <c r="A168" s="6" t="str">
        <f>IF(COUNTA(B168:D168)=3, VLOOKUP(B168, [1]Configuracion!$A$2:$B$7, 2, FALSE) &amp; "-" &amp; UPPER(LEFT(C168, 3)) &amp; "-" &amp; D168, "")</f>
        <v/>
      </c>
      <c r="B168" s="3"/>
      <c r="C168" s="2"/>
      <c r="D168" s="2"/>
      <c r="E168" s="2"/>
      <c r="F168" s="2"/>
      <c r="G168" s="3"/>
      <c r="H168" s="4"/>
      <c r="I168" s="3"/>
    </row>
    <row r="169" spans="1:9" x14ac:dyDescent="0.35">
      <c r="A169" s="6" t="str">
        <f>IF(COUNTA(B169:D169)=3, VLOOKUP(B169, [1]Configuracion!$A$2:$B$7, 2, FALSE) &amp; "-" &amp; UPPER(LEFT(C169, 3)) &amp; "-" &amp; D169, "")</f>
        <v/>
      </c>
      <c r="B169" s="3"/>
      <c r="C169" s="2"/>
      <c r="D169" s="2"/>
      <c r="E169" s="2"/>
      <c r="F169" s="2"/>
      <c r="G169" s="3"/>
      <c r="H169" s="4"/>
      <c r="I169" s="3"/>
    </row>
    <row r="170" spans="1:9" x14ac:dyDescent="0.35">
      <c r="A170" s="6" t="str">
        <f>IF(COUNTA(B170:D170)=3, VLOOKUP(B170, [1]Configuracion!$A$2:$B$7, 2, FALSE) &amp; "-" &amp; UPPER(LEFT(C170, 3)) &amp; "-" &amp; D170, "")</f>
        <v/>
      </c>
      <c r="B170" s="3"/>
      <c r="C170" s="2"/>
      <c r="D170" s="2"/>
      <c r="E170" s="2"/>
      <c r="F170" s="2"/>
      <c r="G170" s="3"/>
      <c r="H170" s="4"/>
      <c r="I170" s="3"/>
    </row>
    <row r="171" spans="1:9" x14ac:dyDescent="0.35">
      <c r="A171" s="6" t="str">
        <f>IF(COUNTA(B171:D171)=3, VLOOKUP(B171, [1]Configuracion!$A$2:$B$7, 2, FALSE) &amp; "-" &amp; UPPER(LEFT(C171, 3)) &amp; "-" &amp; D171, "")</f>
        <v/>
      </c>
      <c r="B171" s="3"/>
      <c r="C171" s="2"/>
      <c r="D171" s="2"/>
      <c r="E171" s="2"/>
      <c r="F171" s="2"/>
      <c r="G171" s="3"/>
      <c r="H171" s="4"/>
      <c r="I171" s="3"/>
    </row>
    <row r="172" spans="1:9" x14ac:dyDescent="0.35">
      <c r="A172" s="6" t="str">
        <f>IF(COUNTA(B172:D172)=3, VLOOKUP(B172, [1]Configuracion!$A$2:$B$7, 2, FALSE) &amp; "-" &amp; UPPER(LEFT(C172, 3)) &amp; "-" &amp; D172, "")</f>
        <v/>
      </c>
      <c r="B172" s="3"/>
      <c r="C172" s="2"/>
      <c r="D172" s="2"/>
      <c r="E172" s="2"/>
      <c r="F172" s="2"/>
      <c r="G172" s="3"/>
      <c r="H172" s="4"/>
      <c r="I172" s="3"/>
    </row>
    <row r="173" spans="1:9" x14ac:dyDescent="0.35">
      <c r="A173" s="6" t="str">
        <f>IF(COUNTA(B173:D173)=3, VLOOKUP(B173, [1]Configuracion!$A$2:$B$7, 2, FALSE) &amp; "-" &amp; UPPER(LEFT(C173, 3)) &amp; "-" &amp; D173, "")</f>
        <v/>
      </c>
      <c r="B173" s="3"/>
      <c r="C173" s="2"/>
      <c r="D173" s="2"/>
      <c r="E173" s="2"/>
      <c r="F173" s="2"/>
      <c r="G173" s="3"/>
      <c r="H173" s="4"/>
      <c r="I173" s="3"/>
    </row>
    <row r="174" spans="1:9" x14ac:dyDescent="0.35">
      <c r="A174" s="6" t="str">
        <f>IF(COUNTA(B174:D174)=3, VLOOKUP(B174, [1]Configuracion!$A$2:$B$7, 2, FALSE) &amp; "-" &amp; UPPER(LEFT(C174, 3)) &amp; "-" &amp; D174, "")</f>
        <v/>
      </c>
      <c r="B174" s="3"/>
      <c r="C174" s="2"/>
      <c r="D174" s="2"/>
      <c r="E174" s="2"/>
      <c r="F174" s="2"/>
      <c r="G174" s="3"/>
      <c r="H174" s="4"/>
      <c r="I174" s="3"/>
    </row>
    <row r="175" spans="1:9" x14ac:dyDescent="0.35">
      <c r="A175" s="6" t="str">
        <f>IF(COUNTA(B175:D175)=3, VLOOKUP(B175, [1]Configuracion!$A$2:$B$7, 2, FALSE) &amp; "-" &amp; UPPER(LEFT(C175, 3)) &amp; "-" &amp; D175, "")</f>
        <v/>
      </c>
      <c r="B175" s="3"/>
      <c r="C175" s="2"/>
      <c r="D175" s="2"/>
      <c r="E175" s="2"/>
      <c r="F175" s="2"/>
      <c r="G175" s="3"/>
      <c r="H175" s="4"/>
      <c r="I175" s="3"/>
    </row>
    <row r="176" spans="1:9" x14ac:dyDescent="0.35">
      <c r="A176" s="6" t="str">
        <f>IF(COUNTA(B176:D176)=3, VLOOKUP(B176, [1]Configuracion!$A$2:$B$7, 2, FALSE) &amp; "-" &amp; UPPER(LEFT(C176, 3)) &amp; "-" &amp; D176, "")</f>
        <v/>
      </c>
      <c r="B176" s="3"/>
      <c r="C176" s="2"/>
      <c r="D176" s="2"/>
      <c r="E176" s="2"/>
      <c r="F176" s="2"/>
      <c r="G176" s="3"/>
      <c r="H176" s="4"/>
      <c r="I176" s="3"/>
    </row>
    <row r="177" spans="1:9" x14ac:dyDescent="0.35">
      <c r="A177" s="6" t="str">
        <f>IF(COUNTA(B177:D177)=3, VLOOKUP(B177, [1]Configuracion!$A$2:$B$7, 2, FALSE) &amp; "-" &amp; UPPER(LEFT(C177, 3)) &amp; "-" &amp; D177, "")</f>
        <v/>
      </c>
      <c r="B177" s="3"/>
      <c r="C177" s="2"/>
      <c r="D177" s="2"/>
      <c r="E177" s="2"/>
      <c r="F177" s="2"/>
      <c r="G177" s="3"/>
      <c r="H177" s="4"/>
      <c r="I177" s="3"/>
    </row>
    <row r="178" spans="1:9" x14ac:dyDescent="0.35">
      <c r="A178" s="6" t="str">
        <f>IF(COUNTA(B178:D178)=3, VLOOKUP(B178, [1]Configuracion!$A$2:$B$7, 2, FALSE) &amp; "-" &amp; UPPER(LEFT(C178, 3)) &amp; "-" &amp; D178, "")</f>
        <v/>
      </c>
      <c r="B178" s="3"/>
      <c r="C178" s="2"/>
      <c r="D178" s="2"/>
      <c r="E178" s="2"/>
      <c r="F178" s="2"/>
      <c r="G178" s="3"/>
      <c r="H178" s="4"/>
      <c r="I178" s="3"/>
    </row>
    <row r="179" spans="1:9" x14ac:dyDescent="0.35">
      <c r="A179" s="6" t="str">
        <f>IF(COUNTA(B179:D179)=3, VLOOKUP(B179, [1]Configuracion!$A$2:$B$7, 2, FALSE) &amp; "-" &amp; UPPER(LEFT(C179, 3)) &amp; "-" &amp; D179, "")</f>
        <v/>
      </c>
      <c r="B179" s="3"/>
      <c r="C179" s="2"/>
      <c r="D179" s="2"/>
      <c r="E179" s="2"/>
      <c r="F179" s="2"/>
      <c r="G179" s="3"/>
      <c r="H179" s="4"/>
      <c r="I179" s="3"/>
    </row>
    <row r="180" spans="1:9" x14ac:dyDescent="0.35">
      <c r="A180" s="6" t="str">
        <f>IF(COUNTA(B180:D180)=3, VLOOKUP(B180, [1]Configuracion!$A$2:$B$7, 2, FALSE) &amp; "-" &amp; UPPER(LEFT(C180, 3)) &amp; "-" &amp; D180, "")</f>
        <v/>
      </c>
      <c r="B180" s="3"/>
      <c r="C180" s="2"/>
      <c r="D180" s="2"/>
      <c r="E180" s="2"/>
      <c r="F180" s="2"/>
      <c r="G180" s="3"/>
      <c r="H180" s="4"/>
      <c r="I180" s="3"/>
    </row>
    <row r="181" spans="1:9" x14ac:dyDescent="0.35">
      <c r="A181" s="6" t="str">
        <f>IF(COUNTA(B181:D181)=3, VLOOKUP(B181, [1]Configuracion!$A$2:$B$7, 2, FALSE) &amp; "-" &amp; UPPER(LEFT(C181, 3)) &amp; "-" &amp; D181, "")</f>
        <v/>
      </c>
      <c r="B181" s="3"/>
      <c r="C181" s="2"/>
      <c r="D181" s="2"/>
      <c r="E181" s="2"/>
      <c r="F181" s="2"/>
      <c r="G181" s="3"/>
      <c r="H181" s="4"/>
      <c r="I181" s="3"/>
    </row>
    <row r="182" spans="1:9" x14ac:dyDescent="0.35">
      <c r="A182" s="6" t="str">
        <f>IF(COUNTA(B182:D182)=3, VLOOKUP(B182, [1]Configuracion!$A$2:$B$7, 2, FALSE) &amp; "-" &amp; UPPER(LEFT(C182, 3)) &amp; "-" &amp; D182, "")</f>
        <v/>
      </c>
      <c r="B182" s="3"/>
      <c r="C182" s="2"/>
      <c r="D182" s="2"/>
      <c r="E182" s="2"/>
      <c r="F182" s="2"/>
      <c r="G182" s="3"/>
      <c r="H182" s="4"/>
      <c r="I182" s="3"/>
    </row>
    <row r="183" spans="1:9" x14ac:dyDescent="0.35">
      <c r="A183" s="6" t="str">
        <f>IF(COUNTA(B183:D183)=3, VLOOKUP(B183, [1]Configuracion!$A$2:$B$7, 2, FALSE) &amp; "-" &amp; UPPER(LEFT(C183, 3)) &amp; "-" &amp; D183, "")</f>
        <v/>
      </c>
      <c r="B183" s="3"/>
      <c r="C183" s="2"/>
      <c r="D183" s="2"/>
      <c r="E183" s="2"/>
      <c r="F183" s="2"/>
      <c r="G183" s="3"/>
      <c r="H183" s="4"/>
      <c r="I183" s="3"/>
    </row>
    <row r="184" spans="1:9" x14ac:dyDescent="0.35">
      <c r="A184" s="6" t="str">
        <f>IF(COUNTA(B184:D184)=3, VLOOKUP(B184, [1]Configuracion!$A$2:$B$7, 2, FALSE) &amp; "-" &amp; UPPER(LEFT(C184, 3)) &amp; "-" &amp; D184, "")</f>
        <v/>
      </c>
      <c r="B184" s="3"/>
      <c r="C184" s="2"/>
      <c r="D184" s="2"/>
      <c r="E184" s="2"/>
      <c r="F184" s="2"/>
      <c r="G184" s="3"/>
      <c r="H184" s="4"/>
      <c r="I184" s="3"/>
    </row>
    <row r="185" spans="1:9" x14ac:dyDescent="0.35">
      <c r="A185" s="6" t="str">
        <f>IF(COUNTA(B185:D185)=3, VLOOKUP(B185, [1]Configuracion!$A$2:$B$7, 2, FALSE) &amp; "-" &amp; UPPER(LEFT(C185, 3)) &amp; "-" &amp; D185, "")</f>
        <v/>
      </c>
      <c r="B185" s="3"/>
      <c r="C185" s="2"/>
      <c r="D185" s="2"/>
      <c r="E185" s="2"/>
      <c r="F185" s="2"/>
      <c r="G185" s="3"/>
      <c r="H185" s="4"/>
      <c r="I185" s="3"/>
    </row>
    <row r="186" spans="1:9" x14ac:dyDescent="0.35">
      <c r="A186" s="6" t="str">
        <f>IF(COUNTA(B186:D186)=3, VLOOKUP(B186, [1]Configuracion!$A$2:$B$7, 2, FALSE) &amp; "-" &amp; UPPER(LEFT(C186, 3)) &amp; "-" &amp; D186, "")</f>
        <v/>
      </c>
      <c r="B186" s="3"/>
      <c r="C186" s="2"/>
      <c r="D186" s="2"/>
      <c r="E186" s="2"/>
      <c r="F186" s="2"/>
      <c r="G186" s="3"/>
      <c r="H186" s="4"/>
      <c r="I186" s="3"/>
    </row>
    <row r="187" spans="1:9" x14ac:dyDescent="0.35">
      <c r="A187" s="6" t="str">
        <f>IF(COUNTA(B187:D187)=3, VLOOKUP(B187, [1]Configuracion!$A$2:$B$7, 2, FALSE) &amp; "-" &amp; UPPER(LEFT(C187, 3)) &amp; "-" &amp; D187, "")</f>
        <v/>
      </c>
      <c r="B187" s="3"/>
      <c r="C187" s="2"/>
      <c r="D187" s="2"/>
      <c r="E187" s="2"/>
      <c r="F187" s="2"/>
      <c r="G187" s="3"/>
      <c r="H187" s="4"/>
      <c r="I187" s="3"/>
    </row>
    <row r="188" spans="1:9" x14ac:dyDescent="0.35">
      <c r="A188" s="6" t="str">
        <f>IF(COUNTA(B188:D188)=3, VLOOKUP(B188, [1]Configuracion!$A$2:$B$7, 2, FALSE) &amp; "-" &amp; UPPER(LEFT(C188, 3)) &amp; "-" &amp; D188, "")</f>
        <v/>
      </c>
      <c r="B188" s="3"/>
      <c r="C188" s="2"/>
      <c r="D188" s="2"/>
      <c r="E188" s="2"/>
      <c r="F188" s="2"/>
      <c r="G188" s="3"/>
      <c r="H188" s="4"/>
      <c r="I188" s="3"/>
    </row>
    <row r="189" spans="1:9" x14ac:dyDescent="0.35">
      <c r="A189" s="6" t="str">
        <f>IF(COUNTA(B189:D189)=3, VLOOKUP(B189, [1]Configuracion!$A$2:$B$7, 2, FALSE) &amp; "-" &amp; UPPER(LEFT(C189, 3)) &amp; "-" &amp; D189, "")</f>
        <v/>
      </c>
      <c r="B189" s="3"/>
      <c r="C189" s="2"/>
      <c r="D189" s="2"/>
      <c r="E189" s="2"/>
      <c r="F189" s="2"/>
      <c r="G189" s="3"/>
      <c r="H189" s="4"/>
      <c r="I189" s="3"/>
    </row>
    <row r="190" spans="1:9" x14ac:dyDescent="0.35">
      <c r="A190" s="6" t="str">
        <f>IF(COUNTA(B190:D190)=3, VLOOKUP(B190, [1]Configuracion!$A$2:$B$7, 2, FALSE) &amp; "-" &amp; UPPER(LEFT(C190, 3)) &amp; "-" &amp; D190, "")</f>
        <v/>
      </c>
      <c r="B190" s="3"/>
      <c r="C190" s="2"/>
      <c r="D190" s="2"/>
      <c r="E190" s="2"/>
      <c r="F190" s="2"/>
      <c r="G190" s="3"/>
      <c r="H190" s="4"/>
      <c r="I190" s="3"/>
    </row>
    <row r="191" spans="1:9" x14ac:dyDescent="0.35">
      <c r="A191" s="6" t="str">
        <f>IF(COUNTA(B191:D191)=3, VLOOKUP(B191, [1]Configuracion!$A$2:$B$7, 2, FALSE) &amp; "-" &amp; UPPER(LEFT(C191, 3)) &amp; "-" &amp; D191, "")</f>
        <v/>
      </c>
      <c r="B191" s="3"/>
      <c r="C191" s="2"/>
      <c r="D191" s="2"/>
      <c r="E191" s="2"/>
      <c r="F191" s="2"/>
      <c r="G191" s="3"/>
      <c r="H191" s="4"/>
      <c r="I191" s="3"/>
    </row>
    <row r="192" spans="1:9" x14ac:dyDescent="0.35">
      <c r="A192" s="6" t="str">
        <f>IF(COUNTA(B192:D192)=3, VLOOKUP(B192, [1]Configuracion!$A$2:$B$7, 2, FALSE) &amp; "-" &amp; UPPER(LEFT(C192, 3)) &amp; "-" &amp; D192, "")</f>
        <v/>
      </c>
      <c r="B192" s="3"/>
      <c r="C192" s="2"/>
      <c r="D192" s="2"/>
      <c r="E192" s="2"/>
      <c r="F192" s="2"/>
      <c r="G192" s="3"/>
      <c r="H192" s="4"/>
      <c r="I192" s="3"/>
    </row>
    <row r="193" spans="1:9" x14ac:dyDescent="0.35">
      <c r="A193" s="6" t="str">
        <f>IF(COUNTA(B193:D193)=3, VLOOKUP(B193, [1]Configuracion!$A$2:$B$7, 2, FALSE) &amp; "-" &amp; UPPER(LEFT(C193, 3)) &amp; "-" &amp; D193, "")</f>
        <v/>
      </c>
      <c r="B193" s="3"/>
      <c r="C193" s="2"/>
      <c r="D193" s="2"/>
      <c r="E193" s="2"/>
      <c r="F193" s="2"/>
      <c r="G193" s="3"/>
      <c r="H193" s="4"/>
      <c r="I193" s="3"/>
    </row>
    <row r="194" spans="1:9" x14ac:dyDescent="0.35">
      <c r="A194" s="6" t="str">
        <f>IF(COUNTA(B194:D194)=3, VLOOKUP(B194, [1]Configuracion!$A$2:$B$7, 2, FALSE) &amp; "-" &amp; UPPER(LEFT(C194, 3)) &amp; "-" &amp; D194, "")</f>
        <v/>
      </c>
      <c r="B194" s="3"/>
      <c r="C194" s="2"/>
      <c r="D194" s="2"/>
      <c r="E194" s="2"/>
      <c r="F194" s="2"/>
      <c r="G194" s="3"/>
      <c r="H194" s="4"/>
      <c r="I194" s="3"/>
    </row>
    <row r="195" spans="1:9" x14ac:dyDescent="0.35">
      <c r="A195" s="6" t="str">
        <f>IF(COUNTA(B195:D195)=3, VLOOKUP(B195, [1]Configuracion!$A$2:$B$7, 2, FALSE) &amp; "-" &amp; UPPER(LEFT(C195, 3)) &amp; "-" &amp; D195, "")</f>
        <v/>
      </c>
      <c r="B195" s="3"/>
      <c r="C195" s="2"/>
      <c r="D195" s="2"/>
      <c r="E195" s="2"/>
      <c r="F195" s="2"/>
      <c r="G195" s="3"/>
      <c r="H195" s="4"/>
      <c r="I195" s="3"/>
    </row>
    <row r="196" spans="1:9" x14ac:dyDescent="0.35">
      <c r="A196" s="6" t="str">
        <f>IF(COUNTA(B196:D196)=3, VLOOKUP(B196, [1]Configuracion!$A$2:$B$7, 2, FALSE) &amp; "-" &amp; UPPER(LEFT(C196, 3)) &amp; "-" &amp; D196, "")</f>
        <v/>
      </c>
      <c r="B196" s="3"/>
      <c r="C196" s="2"/>
      <c r="D196" s="2"/>
      <c r="E196" s="2"/>
      <c r="F196" s="2"/>
      <c r="G196" s="3"/>
      <c r="H196" s="4"/>
      <c r="I196" s="3"/>
    </row>
    <row r="197" spans="1:9" x14ac:dyDescent="0.35">
      <c r="A197" s="6" t="str">
        <f>IF(COUNTA(B197:D197)=3, VLOOKUP(B197, [1]Configuracion!$A$2:$B$7, 2, FALSE) &amp; "-" &amp; UPPER(LEFT(C197, 3)) &amp; "-" &amp; D197, "")</f>
        <v/>
      </c>
      <c r="B197" s="3"/>
      <c r="C197" s="2"/>
      <c r="D197" s="2"/>
      <c r="E197" s="2"/>
      <c r="F197" s="2"/>
      <c r="G197" s="3"/>
      <c r="H197" s="4"/>
      <c r="I197" s="3"/>
    </row>
    <row r="198" spans="1:9" x14ac:dyDescent="0.35">
      <c r="A198" s="6" t="str">
        <f>IF(COUNTA(B198:D198)=3, VLOOKUP(B198, [1]Configuracion!$A$2:$B$7, 2, FALSE) &amp; "-" &amp; UPPER(LEFT(C198, 3)) &amp; "-" &amp; D198, "")</f>
        <v/>
      </c>
      <c r="B198" s="3"/>
      <c r="C198" s="2"/>
      <c r="D198" s="2"/>
      <c r="E198" s="2"/>
      <c r="F198" s="2"/>
      <c r="G198" s="3"/>
      <c r="H198" s="4"/>
      <c r="I198" s="3"/>
    </row>
    <row r="199" spans="1:9" x14ac:dyDescent="0.35">
      <c r="A199" s="6" t="str">
        <f>IF(COUNTA(B199:D199)=3, VLOOKUP(B199, [1]Configuracion!$A$2:$B$7, 2, FALSE) &amp; "-" &amp; UPPER(LEFT(C199, 3)) &amp; "-" &amp; D199, "")</f>
        <v/>
      </c>
      <c r="B199" s="3"/>
      <c r="C199" s="2"/>
      <c r="D199" s="2"/>
      <c r="E199" s="2"/>
      <c r="F199" s="2"/>
      <c r="G199" s="3"/>
      <c r="H199" s="4"/>
      <c r="I199" s="3"/>
    </row>
    <row r="200" spans="1:9" x14ac:dyDescent="0.35">
      <c r="A200" s="6" t="str">
        <f>IF(COUNTA(B200:D200)=3, VLOOKUP(B200, [1]Configuracion!$A$2:$B$7, 2, FALSE) &amp; "-" &amp; UPPER(LEFT(C200, 3)) &amp; "-" &amp; D200, "")</f>
        <v/>
      </c>
      <c r="B200" s="3"/>
      <c r="C200" s="2"/>
      <c r="D200" s="2"/>
      <c r="E200" s="2"/>
      <c r="F200" s="2"/>
      <c r="G200" s="3"/>
      <c r="H200" s="4"/>
      <c r="I200" s="3"/>
    </row>
    <row r="201" spans="1:9" x14ac:dyDescent="0.35">
      <c r="A201" s="6" t="str">
        <f>IF(COUNTA(B201:D201)=3, VLOOKUP(B201, [1]Configuracion!$A$2:$B$7, 2, FALSE) &amp; "-" &amp; UPPER(LEFT(C201, 3)) &amp; "-" &amp; D201, "")</f>
        <v/>
      </c>
      <c r="B201" s="3"/>
      <c r="C201" s="2"/>
      <c r="D201" s="2"/>
      <c r="E201" s="2"/>
      <c r="F201" s="2"/>
      <c r="G201" s="3"/>
      <c r="H201" s="4"/>
      <c r="I201" s="3"/>
    </row>
    <row r="202" spans="1:9" x14ac:dyDescent="0.35">
      <c r="A202" s="6" t="str">
        <f>IF(COUNTA(B202:D202)=3, VLOOKUP(B202, [1]Configuracion!$A$2:$B$7, 2, FALSE) &amp; "-" &amp; UPPER(LEFT(C202, 3)) &amp; "-" &amp; D202, "")</f>
        <v/>
      </c>
      <c r="B202" s="3"/>
      <c r="C202" s="2"/>
      <c r="D202" s="2"/>
      <c r="E202" s="2"/>
      <c r="F202" s="2"/>
      <c r="G202" s="3"/>
      <c r="H202" s="4"/>
      <c r="I202" s="3"/>
    </row>
    <row r="203" spans="1:9" x14ac:dyDescent="0.35">
      <c r="A203" s="6" t="str">
        <f>IF(COUNTA(B203:D203)=3, VLOOKUP(B203, [1]Configuracion!$A$2:$B$7, 2, FALSE) &amp; "-" &amp; UPPER(LEFT(C203, 3)) &amp; "-" &amp; D203, "")</f>
        <v/>
      </c>
      <c r="B203" s="3"/>
      <c r="C203" s="2"/>
      <c r="D203" s="2"/>
      <c r="E203" s="2"/>
      <c r="F203" s="2"/>
      <c r="G203" s="3"/>
      <c r="H203" s="4"/>
      <c r="I203" s="3"/>
    </row>
    <row r="204" spans="1:9" x14ac:dyDescent="0.35">
      <c r="A204" s="6" t="str">
        <f>IF(COUNTA(B204:D204)=3, VLOOKUP(B204, [1]Configuracion!$A$2:$B$7, 2, FALSE) &amp; "-" &amp; UPPER(LEFT(C204, 3)) &amp; "-" &amp; D204, "")</f>
        <v/>
      </c>
      <c r="B204" s="3"/>
      <c r="C204" s="2"/>
      <c r="D204" s="2"/>
      <c r="E204" s="2"/>
      <c r="F204" s="2"/>
      <c r="G204" s="3"/>
      <c r="H204" s="4"/>
      <c r="I204" s="3"/>
    </row>
    <row r="205" spans="1:9" x14ac:dyDescent="0.35">
      <c r="A205" s="6" t="str">
        <f>IF(COUNTA(B205:D205)=3, VLOOKUP(B205, [1]Configuracion!$A$2:$B$7, 2, FALSE) &amp; "-" &amp; UPPER(LEFT(C205, 3)) &amp; "-" &amp; D205, "")</f>
        <v/>
      </c>
      <c r="B205" s="3"/>
      <c r="C205" s="2"/>
      <c r="D205" s="2"/>
      <c r="E205" s="2"/>
      <c r="F205" s="2"/>
      <c r="G205" s="3"/>
      <c r="H205" s="4"/>
      <c r="I205" s="3"/>
    </row>
    <row r="206" spans="1:9" x14ac:dyDescent="0.35">
      <c r="A206" s="6" t="str">
        <f>IF(COUNTA(B206:D206)=3, VLOOKUP(B206, [1]Configuracion!$A$2:$B$7, 2, FALSE) &amp; "-" &amp; UPPER(LEFT(C206, 3)) &amp; "-" &amp; D206, "")</f>
        <v/>
      </c>
      <c r="B206" s="3"/>
      <c r="C206" s="2"/>
      <c r="D206" s="2"/>
      <c r="E206" s="2"/>
      <c r="F206" s="2"/>
      <c r="G206" s="3"/>
      <c r="H206" s="4"/>
      <c r="I206" s="3"/>
    </row>
    <row r="207" spans="1:9" x14ac:dyDescent="0.35">
      <c r="A207" s="6" t="str">
        <f>IF(COUNTA(B207:D207)=3, VLOOKUP(B207, [1]Configuracion!$A$2:$B$7, 2, FALSE) &amp; "-" &amp; UPPER(LEFT(C207, 3)) &amp; "-" &amp; D207, "")</f>
        <v/>
      </c>
      <c r="B207" s="3"/>
      <c r="C207" s="2"/>
      <c r="D207" s="2"/>
      <c r="E207" s="2"/>
      <c r="F207" s="2"/>
      <c r="G207" s="3"/>
      <c r="H207" s="4"/>
      <c r="I207" s="3"/>
    </row>
    <row r="208" spans="1:9" x14ac:dyDescent="0.35">
      <c r="A208" s="6" t="str">
        <f>IF(COUNTA(B208:D208)=3, VLOOKUP(B208, [1]Configuracion!$A$2:$B$7, 2, FALSE) &amp; "-" &amp; UPPER(LEFT(C208, 3)) &amp; "-" &amp; D208, "")</f>
        <v/>
      </c>
      <c r="B208" s="3"/>
      <c r="C208" s="2"/>
      <c r="D208" s="2"/>
      <c r="E208" s="2"/>
      <c r="F208" s="2"/>
      <c r="G208" s="3"/>
      <c r="H208" s="4"/>
      <c r="I208" s="3"/>
    </row>
    <row r="209" spans="1:9" x14ac:dyDescent="0.35">
      <c r="A209" s="6" t="str">
        <f>IF(COUNTA(B209:D209)=3, VLOOKUP(B209, [1]Configuracion!$A$2:$B$7, 2, FALSE) &amp; "-" &amp; UPPER(LEFT(C209, 3)) &amp; "-" &amp; D209, "")</f>
        <v/>
      </c>
      <c r="B209" s="3"/>
      <c r="C209" s="2"/>
      <c r="D209" s="2"/>
      <c r="E209" s="2"/>
      <c r="F209" s="2"/>
      <c r="G209" s="3"/>
      <c r="H209" s="4"/>
      <c r="I209" s="3"/>
    </row>
    <row r="210" spans="1:9" x14ac:dyDescent="0.35">
      <c r="A210" s="6" t="str">
        <f>IF(COUNTA(B210:D210)=3, VLOOKUP(B210, [1]Configuracion!$A$2:$B$7, 2, FALSE) &amp; "-" &amp; UPPER(LEFT(C210, 3)) &amp; "-" &amp; D210, "")</f>
        <v/>
      </c>
      <c r="B210" s="3"/>
      <c r="C210" s="2"/>
      <c r="D210" s="2"/>
      <c r="E210" s="2"/>
      <c r="F210" s="2"/>
      <c r="G210" s="3"/>
      <c r="H210" s="4"/>
      <c r="I210" s="3"/>
    </row>
    <row r="211" spans="1:9" x14ac:dyDescent="0.35">
      <c r="A211" s="6" t="str">
        <f>IF(COUNTA(B211:D211)=3, VLOOKUP(B211, [1]Configuracion!$A$2:$B$7, 2, FALSE) &amp; "-" &amp; UPPER(LEFT(C211, 3)) &amp; "-" &amp; D211, "")</f>
        <v/>
      </c>
      <c r="B211" s="3"/>
      <c r="C211" s="2"/>
      <c r="D211" s="2"/>
      <c r="E211" s="2"/>
      <c r="F211" s="2"/>
      <c r="G211" s="3"/>
      <c r="H211" s="4"/>
      <c r="I211" s="3"/>
    </row>
    <row r="212" spans="1:9" x14ac:dyDescent="0.35">
      <c r="A212" s="6" t="str">
        <f>IF(COUNTA(B212:D212)=3, VLOOKUP(B212, [1]Configuracion!$A$2:$B$7, 2, FALSE) &amp; "-" &amp; UPPER(LEFT(C212, 3)) &amp; "-" &amp; D212, "")</f>
        <v/>
      </c>
      <c r="B212" s="3"/>
      <c r="C212" s="2"/>
      <c r="D212" s="2"/>
      <c r="E212" s="2"/>
      <c r="F212" s="2"/>
      <c r="G212" s="3"/>
      <c r="H212" s="4"/>
      <c r="I212" s="3"/>
    </row>
    <row r="213" spans="1:9" x14ac:dyDescent="0.35">
      <c r="A213" s="6" t="str">
        <f>IF(COUNTA(B213:D213)=3, VLOOKUP(B213, [1]Configuracion!$A$2:$B$7, 2, FALSE) &amp; "-" &amp; UPPER(LEFT(C213, 3)) &amp; "-" &amp; D213, "")</f>
        <v/>
      </c>
      <c r="B213" s="3"/>
      <c r="C213" s="2"/>
      <c r="D213" s="2"/>
      <c r="E213" s="2"/>
      <c r="F213" s="2"/>
      <c r="G213" s="3"/>
      <c r="H213" s="4"/>
      <c r="I213" s="3"/>
    </row>
    <row r="214" spans="1:9" x14ac:dyDescent="0.35">
      <c r="A214" s="6" t="str">
        <f>IF(COUNTA(B214:D214)=3, VLOOKUP(B214, [1]Configuracion!$A$2:$B$7, 2, FALSE) &amp; "-" &amp; UPPER(LEFT(C214, 3)) &amp; "-" &amp; D214, "")</f>
        <v/>
      </c>
      <c r="B214" s="3"/>
      <c r="C214" s="2"/>
      <c r="D214" s="2"/>
      <c r="E214" s="2"/>
      <c r="F214" s="2"/>
      <c r="G214" s="3"/>
      <c r="H214" s="4"/>
      <c r="I214" s="3"/>
    </row>
    <row r="215" spans="1:9" x14ac:dyDescent="0.35">
      <c r="A215" s="6" t="str">
        <f>IF(COUNTA(B215:D215)=3, VLOOKUP(B215, [1]Configuracion!$A$2:$B$7, 2, FALSE) &amp; "-" &amp; UPPER(LEFT(C215, 3)) &amp; "-" &amp; D215, "")</f>
        <v/>
      </c>
      <c r="B215" s="3"/>
      <c r="C215" s="2"/>
      <c r="D215" s="2"/>
      <c r="E215" s="2"/>
      <c r="F215" s="2"/>
      <c r="G215" s="3"/>
      <c r="H215" s="4"/>
      <c r="I215" s="3"/>
    </row>
    <row r="216" spans="1:9" x14ac:dyDescent="0.35">
      <c r="A216" s="6" t="str">
        <f>IF(COUNTA(B216:D216)=3, VLOOKUP(B216, [1]Configuracion!$A$2:$B$7, 2, FALSE) &amp; "-" &amp; UPPER(LEFT(C216, 3)) &amp; "-" &amp; D216, "")</f>
        <v/>
      </c>
      <c r="B216" s="3"/>
      <c r="C216" s="2"/>
      <c r="D216" s="2"/>
      <c r="E216" s="2"/>
      <c r="F216" s="2"/>
      <c r="G216" s="3"/>
      <c r="H216" s="4"/>
      <c r="I216" s="3"/>
    </row>
    <row r="217" spans="1:9" x14ac:dyDescent="0.35">
      <c r="A217" s="6" t="str">
        <f>IF(COUNTA(B217:D217)=3, VLOOKUP(B217, [1]Configuracion!$A$2:$B$7, 2, FALSE) &amp; "-" &amp; UPPER(LEFT(C217, 3)) &amp; "-" &amp; D217, "")</f>
        <v/>
      </c>
      <c r="B217" s="3"/>
      <c r="C217" s="2"/>
      <c r="D217" s="2"/>
      <c r="E217" s="2"/>
      <c r="F217" s="2"/>
      <c r="G217" s="3"/>
      <c r="H217" s="4"/>
      <c r="I217" s="3"/>
    </row>
    <row r="218" spans="1:9" x14ac:dyDescent="0.35">
      <c r="A218" s="6" t="str">
        <f>IF(COUNTA(B218:D218)=3, VLOOKUP(B218, [1]Configuracion!$A$2:$B$7, 2, FALSE) &amp; "-" &amp; UPPER(LEFT(C218, 3)) &amp; "-" &amp; D218, "")</f>
        <v/>
      </c>
      <c r="B218" s="3"/>
      <c r="C218" s="2"/>
      <c r="D218" s="2"/>
      <c r="E218" s="2"/>
      <c r="F218" s="2"/>
      <c r="G218" s="3"/>
      <c r="H218" s="4"/>
      <c r="I218" s="3"/>
    </row>
    <row r="219" spans="1:9" x14ac:dyDescent="0.35">
      <c r="A219" s="6" t="str">
        <f>IF(COUNTA(B219:D219)=3, VLOOKUP(B219, [1]Configuracion!$A$2:$B$7, 2, FALSE) &amp; "-" &amp; UPPER(LEFT(C219, 3)) &amp; "-" &amp; D219, "")</f>
        <v/>
      </c>
      <c r="B219" s="3"/>
      <c r="C219" s="2"/>
      <c r="D219" s="2"/>
      <c r="E219" s="2"/>
      <c r="F219" s="2"/>
      <c r="G219" s="3"/>
      <c r="H219" s="4"/>
      <c r="I219" s="3"/>
    </row>
    <row r="220" spans="1:9" x14ac:dyDescent="0.35">
      <c r="A220" s="6" t="str">
        <f>IF(COUNTA(B220:D220)=3, VLOOKUP(B220, [1]Configuracion!$A$2:$B$7, 2, FALSE) &amp; "-" &amp; UPPER(LEFT(C220, 3)) &amp; "-" &amp; D220, "")</f>
        <v/>
      </c>
      <c r="B220" s="3"/>
      <c r="C220" s="2"/>
      <c r="D220" s="2"/>
      <c r="E220" s="2"/>
      <c r="F220" s="2"/>
      <c r="G220" s="3"/>
      <c r="H220" s="4"/>
      <c r="I220" s="3"/>
    </row>
    <row r="221" spans="1:9" x14ac:dyDescent="0.35">
      <c r="A221" s="6" t="str">
        <f>IF(COUNTA(B221:D221)=3, VLOOKUP(B221, [1]Configuracion!$A$2:$B$7, 2, FALSE) &amp; "-" &amp; UPPER(LEFT(C221, 3)) &amp; "-" &amp; D221, "")</f>
        <v/>
      </c>
      <c r="B221" s="3"/>
      <c r="C221" s="2"/>
      <c r="D221" s="2"/>
      <c r="E221" s="2"/>
      <c r="F221" s="2"/>
      <c r="G221" s="3"/>
      <c r="H221" s="4"/>
      <c r="I221" s="3"/>
    </row>
    <row r="222" spans="1:9" x14ac:dyDescent="0.35">
      <c r="A222" s="6" t="str">
        <f>IF(COUNTA(B222:D222)=3, VLOOKUP(B222, [1]Configuracion!$A$2:$B$7, 2, FALSE) &amp; "-" &amp; UPPER(LEFT(C222, 3)) &amp; "-" &amp; D222, "")</f>
        <v/>
      </c>
      <c r="B222" s="3"/>
      <c r="C222" s="2"/>
      <c r="D222" s="2"/>
      <c r="E222" s="2"/>
      <c r="F222" s="2"/>
      <c r="G222" s="3"/>
      <c r="H222" s="4"/>
      <c r="I222" s="3"/>
    </row>
    <row r="223" spans="1:9" x14ac:dyDescent="0.35">
      <c r="A223" s="6" t="str">
        <f>IF(COUNTA(B223:D223)=3, VLOOKUP(B223, [1]Configuracion!$A$2:$B$7, 2, FALSE) &amp; "-" &amp; UPPER(LEFT(C223, 3)) &amp; "-" &amp; D223, "")</f>
        <v/>
      </c>
      <c r="B223" s="3"/>
      <c r="C223" s="2"/>
      <c r="D223" s="2"/>
      <c r="E223" s="2"/>
      <c r="F223" s="2"/>
      <c r="G223" s="3"/>
      <c r="H223" s="4"/>
      <c r="I223" s="3"/>
    </row>
    <row r="224" spans="1:9" x14ac:dyDescent="0.35">
      <c r="A224" s="6" t="str">
        <f>IF(COUNTA(B224:D224)=3, VLOOKUP(B224, [1]Configuracion!$A$2:$B$7, 2, FALSE) &amp; "-" &amp; UPPER(LEFT(C224, 3)) &amp; "-" &amp; D224, "")</f>
        <v/>
      </c>
      <c r="B224" s="3"/>
      <c r="C224" s="2"/>
      <c r="D224" s="2"/>
      <c r="E224" s="2"/>
      <c r="F224" s="2"/>
      <c r="G224" s="3"/>
      <c r="H224" s="4"/>
      <c r="I224" s="3"/>
    </row>
    <row r="225" spans="1:9" x14ac:dyDescent="0.35">
      <c r="A225" s="6" t="str">
        <f>IF(COUNTA(B225:D225)=3, VLOOKUP(B225, [1]Configuracion!$A$2:$B$7, 2, FALSE) &amp; "-" &amp; UPPER(LEFT(C225, 3)) &amp; "-" &amp; D225, "")</f>
        <v/>
      </c>
      <c r="B225" s="3"/>
      <c r="C225" s="2"/>
      <c r="D225" s="2"/>
      <c r="E225" s="2"/>
      <c r="F225" s="2"/>
      <c r="G225" s="3"/>
      <c r="H225" s="4"/>
      <c r="I225" s="3"/>
    </row>
    <row r="226" spans="1:9" x14ac:dyDescent="0.35">
      <c r="A226" s="6" t="str">
        <f>IF(COUNTA(B226:D226)=3, VLOOKUP(B226, [1]Configuracion!$A$2:$B$7, 2, FALSE) &amp; "-" &amp; UPPER(LEFT(C226, 3)) &amp; "-" &amp; D226, "")</f>
        <v/>
      </c>
      <c r="B226" s="3"/>
      <c r="C226" s="2"/>
      <c r="D226" s="2"/>
      <c r="E226" s="2"/>
      <c r="F226" s="2"/>
      <c r="G226" s="3"/>
      <c r="H226" s="4"/>
      <c r="I226" s="3"/>
    </row>
    <row r="227" spans="1:9" x14ac:dyDescent="0.35">
      <c r="A227" s="6" t="str">
        <f>IF(COUNTA(B227:D227)=3, VLOOKUP(B227, [1]Configuracion!$A$2:$B$7, 2, FALSE) &amp; "-" &amp; UPPER(LEFT(C227, 3)) &amp; "-" &amp; D227, "")</f>
        <v/>
      </c>
      <c r="B227" s="3"/>
      <c r="C227" s="2"/>
      <c r="D227" s="2"/>
      <c r="E227" s="2"/>
      <c r="F227" s="2"/>
      <c r="G227" s="3"/>
      <c r="H227" s="4"/>
      <c r="I227" s="3"/>
    </row>
    <row r="228" spans="1:9" x14ac:dyDescent="0.35">
      <c r="A228" s="6" t="str">
        <f>IF(COUNTA(B228:D228)=3, VLOOKUP(B228, [1]Configuracion!$A$2:$B$7, 2, FALSE) &amp; "-" &amp; UPPER(LEFT(C228, 3)) &amp; "-" &amp; D228, "")</f>
        <v/>
      </c>
      <c r="B228" s="3"/>
      <c r="C228" s="2"/>
      <c r="D228" s="2"/>
      <c r="E228" s="2"/>
      <c r="F228" s="2"/>
      <c r="G228" s="3"/>
      <c r="H228" s="4"/>
      <c r="I228" s="3"/>
    </row>
    <row r="229" spans="1:9" x14ac:dyDescent="0.35">
      <c r="A229" s="6" t="str">
        <f>IF(COUNTA(B229:D229)=3, VLOOKUP(B229, [1]Configuracion!$A$2:$B$7, 2, FALSE) &amp; "-" &amp; UPPER(LEFT(C229, 3)) &amp; "-" &amp; D229, "")</f>
        <v/>
      </c>
      <c r="B229" s="3"/>
      <c r="C229" s="2"/>
      <c r="D229" s="2"/>
      <c r="E229" s="2"/>
      <c r="F229" s="2"/>
      <c r="G229" s="3"/>
      <c r="H229" s="4"/>
      <c r="I229" s="3"/>
    </row>
    <row r="230" spans="1:9" x14ac:dyDescent="0.35">
      <c r="A230" s="6" t="str">
        <f>IF(COUNTA(B230:D230)=3, VLOOKUP(B230, [1]Configuracion!$A$2:$B$7, 2, FALSE) &amp; "-" &amp; UPPER(LEFT(C230, 3)) &amp; "-" &amp; D230, "")</f>
        <v/>
      </c>
      <c r="B230" s="3"/>
      <c r="C230" s="2"/>
      <c r="D230" s="2"/>
      <c r="E230" s="2"/>
      <c r="F230" s="2"/>
      <c r="G230" s="3"/>
      <c r="H230" s="4"/>
      <c r="I230" s="3"/>
    </row>
    <row r="231" spans="1:9" x14ac:dyDescent="0.35">
      <c r="A231" s="6" t="str">
        <f>IF(COUNTA(B231:D231)=3, VLOOKUP(B231, [1]Configuracion!$A$2:$B$7, 2, FALSE) &amp; "-" &amp; UPPER(LEFT(C231, 3)) &amp; "-" &amp; D231, "")</f>
        <v/>
      </c>
      <c r="B231" s="3"/>
      <c r="C231" s="2"/>
      <c r="D231" s="2"/>
      <c r="E231" s="2"/>
      <c r="F231" s="2"/>
      <c r="G231" s="3"/>
      <c r="H231" s="4"/>
      <c r="I231" s="3"/>
    </row>
    <row r="232" spans="1:9" x14ac:dyDescent="0.35">
      <c r="A232" s="6" t="str">
        <f>IF(COUNTA(B232:D232)=3, VLOOKUP(B232, [1]Configuracion!$A$2:$B$7, 2, FALSE) &amp; "-" &amp; UPPER(LEFT(C232, 3)) &amp; "-" &amp; D232, "")</f>
        <v/>
      </c>
      <c r="B232" s="3"/>
      <c r="C232" s="2"/>
      <c r="D232" s="2"/>
      <c r="E232" s="2"/>
      <c r="F232" s="2"/>
      <c r="G232" s="3"/>
      <c r="H232" s="4"/>
      <c r="I232" s="3"/>
    </row>
    <row r="233" spans="1:9" x14ac:dyDescent="0.35">
      <c r="A233" s="6" t="str">
        <f>IF(COUNTA(B233:D233)=3, VLOOKUP(B233, [1]Configuracion!$A$2:$B$7, 2, FALSE) &amp; "-" &amp; UPPER(LEFT(C233, 3)) &amp; "-" &amp; D233, "")</f>
        <v/>
      </c>
      <c r="B233" s="3"/>
      <c r="C233" s="2"/>
      <c r="D233" s="2"/>
      <c r="E233" s="2"/>
      <c r="F233" s="2"/>
      <c r="G233" s="3"/>
      <c r="H233" s="4"/>
      <c r="I233" s="3"/>
    </row>
    <row r="234" spans="1:9" x14ac:dyDescent="0.35">
      <c r="A234" s="6" t="str">
        <f>IF(COUNTA(B234:D234)=3, VLOOKUP(B234, [1]Configuracion!$A$2:$B$7, 2, FALSE) &amp; "-" &amp; UPPER(LEFT(C234, 3)) &amp; "-" &amp; D234, "")</f>
        <v/>
      </c>
      <c r="B234" s="3"/>
      <c r="C234" s="2"/>
      <c r="D234" s="2"/>
      <c r="E234" s="2"/>
      <c r="F234" s="2"/>
      <c r="G234" s="3"/>
      <c r="H234" s="4"/>
      <c r="I234" s="3"/>
    </row>
    <row r="235" spans="1:9" x14ac:dyDescent="0.35">
      <c r="A235" s="6" t="str">
        <f>IF(COUNTA(B235:D235)=3, VLOOKUP(B235, [1]Configuracion!$A$2:$B$7, 2, FALSE) &amp; "-" &amp; UPPER(LEFT(C235, 3)) &amp; "-" &amp; D235, "")</f>
        <v/>
      </c>
      <c r="B235" s="3"/>
      <c r="C235" s="2"/>
      <c r="D235" s="2"/>
      <c r="E235" s="2"/>
      <c r="F235" s="2"/>
      <c r="G235" s="3"/>
      <c r="H235" s="4"/>
      <c r="I235" s="3"/>
    </row>
    <row r="236" spans="1:9" x14ac:dyDescent="0.35">
      <c r="A236" s="6" t="str">
        <f>IF(COUNTA(B236:D236)=3, VLOOKUP(B236, [1]Configuracion!$A$2:$B$7, 2, FALSE) &amp; "-" &amp; UPPER(LEFT(C236, 3)) &amp; "-" &amp; D236, "")</f>
        <v/>
      </c>
      <c r="B236" s="3"/>
      <c r="C236" s="2"/>
      <c r="D236" s="2"/>
      <c r="E236" s="2"/>
      <c r="F236" s="2"/>
      <c r="G236" s="3"/>
      <c r="H236" s="4"/>
      <c r="I236" s="3"/>
    </row>
    <row r="237" spans="1:9" x14ac:dyDescent="0.35">
      <c r="A237" s="6" t="str">
        <f>IF(COUNTA(B237:D237)=3, VLOOKUP(B237, [1]Configuracion!$A$2:$B$7, 2, FALSE) &amp; "-" &amp; UPPER(LEFT(C237, 3)) &amp; "-" &amp; D237, "")</f>
        <v/>
      </c>
      <c r="B237" s="3"/>
      <c r="C237" s="2"/>
      <c r="D237" s="2"/>
      <c r="E237" s="2"/>
      <c r="F237" s="2"/>
      <c r="G237" s="3"/>
      <c r="H237" s="4"/>
      <c r="I237" s="3"/>
    </row>
    <row r="238" spans="1:9" x14ac:dyDescent="0.35">
      <c r="A238" s="6" t="str">
        <f>IF(COUNTA(B238:D238)=3, VLOOKUP(B238, [1]Configuracion!$A$2:$B$7, 2, FALSE) &amp; "-" &amp; UPPER(LEFT(C238, 3)) &amp; "-" &amp; D238, "")</f>
        <v/>
      </c>
      <c r="B238" s="3"/>
      <c r="C238" s="2"/>
      <c r="D238" s="2"/>
      <c r="E238" s="2"/>
      <c r="F238" s="2"/>
      <c r="G238" s="3"/>
      <c r="H238" s="4"/>
      <c r="I238" s="3"/>
    </row>
    <row r="239" spans="1:9" x14ac:dyDescent="0.35">
      <c r="A239" s="6" t="str">
        <f>IF(COUNTA(B239:D239)=3, VLOOKUP(B239, [1]Configuracion!$A$2:$B$7, 2, FALSE) &amp; "-" &amp; UPPER(LEFT(C239, 3)) &amp; "-" &amp; D239, "")</f>
        <v/>
      </c>
      <c r="B239" s="3"/>
      <c r="C239" s="2"/>
      <c r="D239" s="2"/>
      <c r="E239" s="2"/>
      <c r="F239" s="2"/>
      <c r="G239" s="3"/>
      <c r="H239" s="4"/>
      <c r="I239" s="3"/>
    </row>
    <row r="240" spans="1:9" x14ac:dyDescent="0.35">
      <c r="A240" s="6" t="str">
        <f>IF(COUNTA(B240:D240)=3, VLOOKUP(B240, [1]Configuracion!$A$2:$B$7, 2, FALSE) &amp; "-" &amp; UPPER(LEFT(C240, 3)) &amp; "-" &amp; D240, "")</f>
        <v/>
      </c>
      <c r="B240" s="3"/>
      <c r="C240" s="2"/>
      <c r="D240" s="2"/>
      <c r="E240" s="2"/>
      <c r="F240" s="2"/>
      <c r="G240" s="3"/>
      <c r="H240" s="4"/>
      <c r="I240" s="3"/>
    </row>
    <row r="241" spans="1:9" x14ac:dyDescent="0.35">
      <c r="A241" s="6" t="str">
        <f>IF(COUNTA(B241:D241)=3, VLOOKUP(B241, [1]Configuracion!$A$2:$B$7, 2, FALSE) &amp; "-" &amp; UPPER(LEFT(C241, 3)) &amp; "-" &amp; D241, "")</f>
        <v/>
      </c>
      <c r="B241" s="3"/>
      <c r="C241" s="2"/>
      <c r="D241" s="2"/>
      <c r="E241" s="2"/>
      <c r="F241" s="2"/>
      <c r="G241" s="3"/>
      <c r="H241" s="4"/>
      <c r="I241" s="3"/>
    </row>
    <row r="242" spans="1:9" x14ac:dyDescent="0.35">
      <c r="A242" s="6" t="str">
        <f>IF(COUNTA(B242:D242)=3, VLOOKUP(B242, [1]Configuracion!$A$2:$B$7, 2, FALSE) &amp; "-" &amp; UPPER(LEFT(C242, 3)) &amp; "-" &amp; D242, "")</f>
        <v/>
      </c>
      <c r="B242" s="3"/>
      <c r="C242" s="2"/>
      <c r="D242" s="2"/>
      <c r="E242" s="2"/>
      <c r="F242" s="2"/>
      <c r="G242" s="3"/>
      <c r="H242" s="4"/>
      <c r="I242" s="3"/>
    </row>
    <row r="243" spans="1:9" x14ac:dyDescent="0.35">
      <c r="A243" s="6" t="str">
        <f>IF(COUNTA(B243:D243)=3, VLOOKUP(B243, [1]Configuracion!$A$2:$B$7, 2, FALSE) &amp; "-" &amp; UPPER(LEFT(C243, 3)) &amp; "-" &amp; D243, "")</f>
        <v/>
      </c>
      <c r="B243" s="3"/>
      <c r="C243" s="2"/>
      <c r="D243" s="2"/>
      <c r="E243" s="2"/>
      <c r="F243" s="2"/>
      <c r="G243" s="3"/>
      <c r="H243" s="4"/>
      <c r="I243" s="3"/>
    </row>
    <row r="244" spans="1:9" x14ac:dyDescent="0.35">
      <c r="A244" s="6" t="str">
        <f>IF(COUNTA(B244:D244)=3, VLOOKUP(B244, [1]Configuracion!$A$2:$B$7, 2, FALSE) &amp; "-" &amp; UPPER(LEFT(C244, 3)) &amp; "-" &amp; D244, "")</f>
        <v/>
      </c>
      <c r="B244" s="3"/>
      <c r="C244" s="2"/>
      <c r="D244" s="2"/>
      <c r="E244" s="2"/>
      <c r="F244" s="2"/>
      <c r="G244" s="3"/>
      <c r="H244" s="4"/>
      <c r="I244" s="3"/>
    </row>
    <row r="245" spans="1:9" x14ac:dyDescent="0.35">
      <c r="A245" s="6" t="str">
        <f>IF(COUNTA(B245:D245)=3, VLOOKUP(B245, [1]Configuracion!$A$2:$B$7, 2, FALSE) &amp; "-" &amp; UPPER(LEFT(C245, 3)) &amp; "-" &amp; D245, "")</f>
        <v/>
      </c>
      <c r="B245" s="3"/>
      <c r="C245" s="2"/>
      <c r="D245" s="2"/>
      <c r="E245" s="2"/>
      <c r="F245" s="2"/>
      <c r="G245" s="3"/>
      <c r="H245" s="4"/>
      <c r="I245" s="3"/>
    </row>
    <row r="246" spans="1:9" x14ac:dyDescent="0.35">
      <c r="A246" s="6" t="str">
        <f>IF(COUNTA(B246:D246)=3, VLOOKUP(B246, [1]Configuracion!$A$2:$B$7, 2, FALSE) &amp; "-" &amp; UPPER(LEFT(C246, 3)) &amp; "-" &amp; D246, "")</f>
        <v/>
      </c>
      <c r="B246" s="3"/>
      <c r="C246" s="2"/>
      <c r="D246" s="2"/>
      <c r="E246" s="2"/>
      <c r="F246" s="2"/>
      <c r="G246" s="3"/>
      <c r="H246" s="4"/>
      <c r="I246" s="3"/>
    </row>
    <row r="247" spans="1:9" x14ac:dyDescent="0.35">
      <c r="A247" s="6" t="str">
        <f>IF(COUNTA(B247:D247)=3, VLOOKUP(B247, [1]Configuracion!$A$2:$B$7, 2, FALSE) &amp; "-" &amp; UPPER(LEFT(C247, 3)) &amp; "-" &amp; D247, "")</f>
        <v/>
      </c>
      <c r="B247" s="3"/>
      <c r="C247" s="2"/>
      <c r="D247" s="2"/>
      <c r="E247" s="2"/>
      <c r="F247" s="2"/>
      <c r="G247" s="3"/>
      <c r="H247" s="4"/>
      <c r="I247" s="3"/>
    </row>
    <row r="248" spans="1:9" x14ac:dyDescent="0.35">
      <c r="A248" s="6" t="str">
        <f>IF(COUNTA(B248:D248)=3, VLOOKUP(B248, [1]Configuracion!$A$2:$B$7, 2, FALSE) &amp; "-" &amp; UPPER(LEFT(C248, 3)) &amp; "-" &amp; D248, "")</f>
        <v/>
      </c>
      <c r="B248" s="3"/>
      <c r="C248" s="2"/>
      <c r="D248" s="2"/>
      <c r="E248" s="2"/>
      <c r="F248" s="2"/>
      <c r="G248" s="3"/>
      <c r="H248" s="4"/>
      <c r="I248" s="3"/>
    </row>
    <row r="249" spans="1:9" x14ac:dyDescent="0.35">
      <c r="A249" s="6" t="str">
        <f>IF(COUNTA(B249:D249)=3, VLOOKUP(B249, [1]Configuracion!$A$2:$B$7, 2, FALSE) &amp; "-" &amp; UPPER(LEFT(C249, 3)) &amp; "-" &amp; D249, "")</f>
        <v/>
      </c>
      <c r="B249" s="3"/>
      <c r="C249" s="2"/>
      <c r="D249" s="2"/>
      <c r="E249" s="2"/>
      <c r="F249" s="2"/>
      <c r="G249" s="3"/>
      <c r="H249" s="4"/>
      <c r="I249" s="3"/>
    </row>
    <row r="250" spans="1:9" x14ac:dyDescent="0.35">
      <c r="A250" s="6" t="str">
        <f>IF(COUNTA(B250:D250)=3, VLOOKUP(B250, [1]Configuracion!$A$2:$B$7, 2, FALSE) &amp; "-" &amp; UPPER(LEFT(C250, 3)) &amp; "-" &amp; D250, "")</f>
        <v/>
      </c>
      <c r="B250" s="3"/>
      <c r="C250" s="2"/>
      <c r="D250" s="2"/>
      <c r="E250" s="2"/>
      <c r="F250" s="2"/>
      <c r="G250" s="3"/>
      <c r="H250" s="4"/>
      <c r="I250" s="3"/>
    </row>
    <row r="251" spans="1:9" x14ac:dyDescent="0.35">
      <c r="A251" s="6" t="str">
        <f>IF(COUNTA(B251:D251)=3, VLOOKUP(B251, [1]Configuracion!$A$2:$B$7, 2, FALSE) &amp; "-" &amp; UPPER(LEFT(C251, 3)) &amp; "-" &amp; D251, "")</f>
        <v/>
      </c>
      <c r="B251" s="3"/>
      <c r="C251" s="2"/>
      <c r="D251" s="2"/>
      <c r="E251" s="2"/>
      <c r="F251" s="2"/>
      <c r="G251" s="3"/>
      <c r="H251" s="4"/>
      <c r="I251" s="3"/>
    </row>
    <row r="252" spans="1:9" x14ac:dyDescent="0.35">
      <c r="A252" s="6" t="str">
        <f>IF(COUNTA(B252:D252)=3, VLOOKUP(B252, [1]Configuracion!$A$2:$B$7, 2, FALSE) &amp; "-" &amp; UPPER(LEFT(C252, 3)) &amp; "-" &amp; D252, "")</f>
        <v/>
      </c>
      <c r="B252" s="3"/>
      <c r="C252" s="2"/>
      <c r="D252" s="2"/>
      <c r="E252" s="2"/>
      <c r="F252" s="2"/>
      <c r="G252" s="3"/>
      <c r="H252" s="4"/>
      <c r="I252" s="3"/>
    </row>
    <row r="253" spans="1:9" x14ac:dyDescent="0.35">
      <c r="A253" s="6" t="str">
        <f>IF(COUNTA(B253:D253)=3, VLOOKUP(B253, [1]Configuracion!$A$2:$B$7, 2, FALSE) &amp; "-" &amp; UPPER(LEFT(C253, 3)) &amp; "-" &amp; D253, "")</f>
        <v/>
      </c>
      <c r="B253" s="3"/>
      <c r="C253" s="2"/>
      <c r="D253" s="2"/>
      <c r="E253" s="2"/>
      <c r="F253" s="2"/>
      <c r="G253" s="3"/>
      <c r="H253" s="4"/>
      <c r="I253" s="3"/>
    </row>
    <row r="254" spans="1:9" x14ac:dyDescent="0.35">
      <c r="A254" s="6" t="str">
        <f>IF(COUNTA(B254:D254)=3, VLOOKUP(B254, [1]Configuracion!$A$2:$B$7, 2, FALSE) &amp; "-" &amp; UPPER(LEFT(C254, 3)) &amp; "-" &amp; D254, "")</f>
        <v/>
      </c>
      <c r="B254" s="3"/>
      <c r="C254" s="2"/>
      <c r="D254" s="2"/>
      <c r="E254" s="2"/>
      <c r="F254" s="2"/>
      <c r="G254" s="3"/>
      <c r="H254" s="4"/>
      <c r="I254" s="3"/>
    </row>
    <row r="255" spans="1:9" x14ac:dyDescent="0.35">
      <c r="A255" s="6" t="str">
        <f>IF(COUNTA(B255:D255)=3, VLOOKUP(B255, [1]Configuracion!$A$2:$B$7, 2, FALSE) &amp; "-" &amp; UPPER(LEFT(C255, 3)) &amp; "-" &amp; D255, "")</f>
        <v/>
      </c>
      <c r="B255" s="3"/>
      <c r="C255" s="2"/>
      <c r="D255" s="2"/>
      <c r="E255" s="2"/>
      <c r="F255" s="2"/>
      <c r="G255" s="3"/>
      <c r="H255" s="4"/>
      <c r="I255" s="3"/>
    </row>
    <row r="256" spans="1:9" x14ac:dyDescent="0.35">
      <c r="A256" s="6" t="str">
        <f>IF(COUNTA(B256:D256)=3, VLOOKUP(B256, [1]Configuracion!$A$2:$B$7, 2, FALSE) &amp; "-" &amp; UPPER(LEFT(C256, 3)) &amp; "-" &amp; D256, "")</f>
        <v/>
      </c>
      <c r="B256" s="3"/>
      <c r="C256" s="2"/>
      <c r="D256" s="2"/>
      <c r="E256" s="2"/>
      <c r="F256" s="2"/>
      <c r="G256" s="3"/>
      <c r="H256" s="4"/>
      <c r="I256" s="3"/>
    </row>
    <row r="257" spans="1:9" x14ac:dyDescent="0.35">
      <c r="A257" s="6" t="str">
        <f>IF(COUNTA(B257:D257)=3, VLOOKUP(B257, [1]Configuracion!$A$2:$B$7, 2, FALSE) &amp; "-" &amp; UPPER(LEFT(C257, 3)) &amp; "-" &amp; D257, "")</f>
        <v/>
      </c>
      <c r="B257" s="3"/>
      <c r="C257" s="2"/>
      <c r="D257" s="2"/>
      <c r="E257" s="2"/>
      <c r="F257" s="2"/>
      <c r="G257" s="3"/>
      <c r="H257" s="4"/>
      <c r="I257" s="3"/>
    </row>
    <row r="258" spans="1:9" x14ac:dyDescent="0.35">
      <c r="A258" s="6" t="str">
        <f>IF(COUNTA(B258:D258)=3, VLOOKUP(B258, [1]Configuracion!$A$2:$B$7, 2, FALSE) &amp; "-" &amp; UPPER(LEFT(C258, 3)) &amp; "-" &amp; D258, "")</f>
        <v/>
      </c>
      <c r="B258" s="3"/>
      <c r="C258" s="2"/>
      <c r="D258" s="2"/>
      <c r="E258" s="2"/>
      <c r="F258" s="2"/>
      <c r="G258" s="3"/>
      <c r="H258" s="4"/>
      <c r="I258" s="3"/>
    </row>
    <row r="259" spans="1:9" x14ac:dyDescent="0.35">
      <c r="A259" s="6" t="str">
        <f>IF(COUNTA(B259:D259)=3, VLOOKUP(B259, [1]Configuracion!$A$2:$B$7, 2, FALSE) &amp; "-" &amp; UPPER(LEFT(C259, 3)) &amp; "-" &amp; D259, "")</f>
        <v/>
      </c>
      <c r="B259" s="3"/>
      <c r="C259" s="2"/>
      <c r="D259" s="2"/>
      <c r="E259" s="2"/>
      <c r="F259" s="2"/>
      <c r="G259" s="3"/>
      <c r="H259" s="4"/>
      <c r="I259" s="3"/>
    </row>
    <row r="260" spans="1:9" x14ac:dyDescent="0.35">
      <c r="A260" s="6" t="str">
        <f>IF(COUNTA(B260:D260)=3, VLOOKUP(B260, [1]Configuracion!$A$2:$B$7, 2, FALSE) &amp; "-" &amp; UPPER(LEFT(C260, 3)) &amp; "-" &amp; D260, "")</f>
        <v/>
      </c>
      <c r="B260" s="3"/>
      <c r="C260" s="2"/>
      <c r="D260" s="2"/>
      <c r="E260" s="2"/>
      <c r="F260" s="2"/>
      <c r="G260" s="3"/>
      <c r="H260" s="4"/>
      <c r="I260" s="3"/>
    </row>
    <row r="261" spans="1:9" x14ac:dyDescent="0.35">
      <c r="A261" s="6" t="str">
        <f>IF(COUNTA(B261:D261)=3, VLOOKUP(B261, [1]Configuracion!$A$2:$B$7, 2, FALSE) &amp; "-" &amp; UPPER(LEFT(C261, 3)) &amp; "-" &amp; D261, "")</f>
        <v/>
      </c>
      <c r="B261" s="3"/>
      <c r="C261" s="2"/>
      <c r="D261" s="2"/>
      <c r="E261" s="2"/>
      <c r="F261" s="2"/>
      <c r="G261" s="3"/>
      <c r="H261" s="4"/>
      <c r="I261" s="3"/>
    </row>
    <row r="262" spans="1:9" x14ac:dyDescent="0.35">
      <c r="A262" s="6" t="str">
        <f>IF(COUNTA(B262:D262)=3, VLOOKUP(B262, [1]Configuracion!$A$2:$B$7, 2, FALSE) &amp; "-" &amp; UPPER(LEFT(C262, 3)) &amp; "-" &amp; D262, "")</f>
        <v/>
      </c>
      <c r="B262" s="3"/>
      <c r="C262" s="2"/>
      <c r="D262" s="2"/>
      <c r="E262" s="2"/>
      <c r="F262" s="2"/>
      <c r="G262" s="3"/>
      <c r="H262" s="4"/>
      <c r="I262" s="3"/>
    </row>
    <row r="263" spans="1:9" x14ac:dyDescent="0.35">
      <c r="A263" s="6" t="str">
        <f>IF(COUNTA(B263:D263)=3, VLOOKUP(B263, [1]Configuracion!$A$2:$B$7, 2, FALSE) &amp; "-" &amp; UPPER(LEFT(C263, 3)) &amp; "-" &amp; D263, "")</f>
        <v/>
      </c>
      <c r="B263" s="3"/>
      <c r="C263" s="2"/>
      <c r="D263" s="2"/>
      <c r="E263" s="2"/>
      <c r="F263" s="2"/>
      <c r="G263" s="3"/>
      <c r="H263" s="4"/>
      <c r="I263" s="3"/>
    </row>
    <row r="264" spans="1:9" x14ac:dyDescent="0.35">
      <c r="A264" s="6" t="str">
        <f>IF(COUNTA(B264:D264)=3, VLOOKUP(B264, [1]Configuracion!$A$2:$B$7, 2, FALSE) &amp; "-" &amp; UPPER(LEFT(C264, 3)) &amp; "-" &amp; D264, "")</f>
        <v/>
      </c>
      <c r="B264" s="3"/>
      <c r="C264" s="2"/>
      <c r="D264" s="2"/>
      <c r="E264" s="2"/>
      <c r="F264" s="2"/>
      <c r="G264" s="3"/>
      <c r="H264" s="4"/>
      <c r="I264" s="3"/>
    </row>
    <row r="265" spans="1:9" x14ac:dyDescent="0.35">
      <c r="A265" s="6" t="str">
        <f>IF(COUNTA(B265:D265)=3, VLOOKUP(B265, [1]Configuracion!$A$2:$B$7, 2, FALSE) &amp; "-" &amp; UPPER(LEFT(C265, 3)) &amp; "-" &amp; D265, "")</f>
        <v/>
      </c>
      <c r="B265" s="3"/>
      <c r="C265" s="2"/>
      <c r="D265" s="2"/>
      <c r="E265" s="2"/>
      <c r="F265" s="2"/>
      <c r="G265" s="3"/>
      <c r="H265" s="4"/>
      <c r="I265" s="3"/>
    </row>
    <row r="266" spans="1:9" x14ac:dyDescent="0.35">
      <c r="A266" s="6" t="str">
        <f>IF(COUNTA(B266:D266)=3, VLOOKUP(B266, [1]Configuracion!$A$2:$B$7, 2, FALSE) &amp; "-" &amp; UPPER(LEFT(C266, 3)) &amp; "-" &amp; D266, "")</f>
        <v/>
      </c>
      <c r="B266" s="3"/>
      <c r="C266" s="2"/>
      <c r="D266" s="2"/>
      <c r="E266" s="2"/>
      <c r="F266" s="2"/>
      <c r="G266" s="3"/>
      <c r="H266" s="4"/>
      <c r="I266" s="3"/>
    </row>
    <row r="267" spans="1:9" x14ac:dyDescent="0.35">
      <c r="A267" s="6" t="str">
        <f>IF(COUNTA(B267:D267)=3, VLOOKUP(B267, [1]Configuracion!$A$2:$B$7, 2, FALSE) &amp; "-" &amp; UPPER(LEFT(C267, 3)) &amp; "-" &amp; D267, "")</f>
        <v/>
      </c>
      <c r="B267" s="3"/>
      <c r="C267" s="2"/>
      <c r="D267" s="2"/>
      <c r="E267" s="2"/>
      <c r="F267" s="2"/>
      <c r="G267" s="3"/>
      <c r="H267" s="4"/>
      <c r="I267" s="3"/>
    </row>
    <row r="268" spans="1:9" x14ac:dyDescent="0.35">
      <c r="A268" s="6" t="str">
        <f>IF(COUNTA(B268:D268)=3, VLOOKUP(B268, [1]Configuracion!$A$2:$B$7, 2, FALSE) &amp; "-" &amp; UPPER(LEFT(C268, 3)) &amp; "-" &amp; D268, "")</f>
        <v/>
      </c>
      <c r="B268" s="3"/>
      <c r="C268" s="2"/>
      <c r="D268" s="2"/>
      <c r="E268" s="2"/>
      <c r="F268" s="2"/>
      <c r="G268" s="3"/>
      <c r="H268" s="4"/>
      <c r="I268" s="3"/>
    </row>
    <row r="269" spans="1:9" x14ac:dyDescent="0.35">
      <c r="A269" s="6" t="str">
        <f>IF(COUNTA(B269:D269)=3, VLOOKUP(B269, [1]Configuracion!$A$2:$B$7, 2, FALSE) &amp; "-" &amp; UPPER(LEFT(C269, 3)) &amp; "-" &amp; D269, "")</f>
        <v/>
      </c>
      <c r="B269" s="3"/>
      <c r="C269" s="2"/>
      <c r="D269" s="2"/>
      <c r="E269" s="2"/>
      <c r="F269" s="2"/>
      <c r="G269" s="3"/>
      <c r="H269" s="4"/>
      <c r="I269" s="3"/>
    </row>
    <row r="270" spans="1:9" x14ac:dyDescent="0.35">
      <c r="A270" s="6" t="str">
        <f>IF(COUNTA(B270:D270)=3, VLOOKUP(B270, [1]Configuracion!$A$2:$B$7, 2, FALSE) &amp; "-" &amp; UPPER(LEFT(C270, 3)) &amp; "-" &amp; D270, "")</f>
        <v/>
      </c>
      <c r="B270" s="3"/>
      <c r="C270" s="2"/>
      <c r="D270" s="2"/>
      <c r="E270" s="2"/>
      <c r="F270" s="2"/>
      <c r="G270" s="3"/>
      <c r="H270" s="4"/>
      <c r="I270" s="3"/>
    </row>
    <row r="271" spans="1:9" x14ac:dyDescent="0.35">
      <c r="A271" s="6" t="str">
        <f>IF(COUNTA(B271:D271)=3, VLOOKUP(B271, [1]Configuracion!$A$2:$B$7, 2, FALSE) &amp; "-" &amp; UPPER(LEFT(C271, 3)) &amp; "-" &amp; D271, "")</f>
        <v/>
      </c>
      <c r="B271" s="3"/>
      <c r="C271" s="2"/>
      <c r="D271" s="2"/>
      <c r="E271" s="2"/>
      <c r="F271" s="2"/>
      <c r="G271" s="3"/>
      <c r="H271" s="4"/>
      <c r="I271" s="3"/>
    </row>
    <row r="272" spans="1:9" x14ac:dyDescent="0.35">
      <c r="A272" s="6" t="str">
        <f>IF(COUNTA(B272:D272)=3, VLOOKUP(B272, [1]Configuracion!$A$2:$B$7, 2, FALSE) &amp; "-" &amp; UPPER(LEFT(C272, 3)) &amp; "-" &amp; D272, "")</f>
        <v/>
      </c>
      <c r="B272" s="3"/>
      <c r="C272" s="2"/>
      <c r="D272" s="2"/>
      <c r="E272" s="2"/>
      <c r="F272" s="2"/>
      <c r="G272" s="3"/>
      <c r="H272" s="4"/>
      <c r="I272" s="3"/>
    </row>
    <row r="273" spans="1:9" x14ac:dyDescent="0.35">
      <c r="A273" s="6" t="str">
        <f>IF(COUNTA(B273:D273)=3, VLOOKUP(B273, [1]Configuracion!$A$2:$B$7, 2, FALSE) &amp; "-" &amp; UPPER(LEFT(C273, 3)) &amp; "-" &amp; D273, "")</f>
        <v/>
      </c>
      <c r="B273" s="3"/>
      <c r="C273" s="2"/>
      <c r="D273" s="2"/>
      <c r="E273" s="2"/>
      <c r="F273" s="2"/>
      <c r="G273" s="3"/>
      <c r="H273" s="4"/>
      <c r="I273" s="3"/>
    </row>
    <row r="274" spans="1:9" x14ac:dyDescent="0.35">
      <c r="A274" s="6" t="str">
        <f>IF(COUNTA(B274:D274)=3, VLOOKUP(B274, [1]Configuracion!$A$2:$B$7, 2, FALSE) &amp; "-" &amp; UPPER(LEFT(C274, 3)) &amp; "-" &amp; D274, "")</f>
        <v/>
      </c>
      <c r="B274" s="3"/>
      <c r="C274" s="2"/>
      <c r="D274" s="2"/>
      <c r="E274" s="2"/>
      <c r="F274" s="2"/>
      <c r="G274" s="3"/>
      <c r="H274" s="4"/>
      <c r="I274" s="3"/>
    </row>
    <row r="275" spans="1:9" x14ac:dyDescent="0.35">
      <c r="A275" s="6" t="str">
        <f>IF(COUNTA(B275:D275)=3, VLOOKUP(B275, [1]Configuracion!$A$2:$B$7, 2, FALSE) &amp; "-" &amp; UPPER(LEFT(C275, 3)) &amp; "-" &amp; D275, "")</f>
        <v/>
      </c>
      <c r="B275" s="3"/>
      <c r="C275" s="2"/>
      <c r="D275" s="2"/>
      <c r="E275" s="2"/>
      <c r="F275" s="2"/>
      <c r="G275" s="3"/>
      <c r="H275" s="4"/>
      <c r="I275" s="3"/>
    </row>
    <row r="276" spans="1:9" x14ac:dyDescent="0.35">
      <c r="A276" s="6" t="str">
        <f>IF(COUNTA(B276:D276)=3, VLOOKUP(B276, [1]Configuracion!$A$2:$B$7, 2, FALSE) &amp; "-" &amp; UPPER(LEFT(C276, 3)) &amp; "-" &amp; D276, "")</f>
        <v/>
      </c>
      <c r="B276" s="3"/>
      <c r="C276" s="2"/>
      <c r="D276" s="2"/>
      <c r="E276" s="2"/>
      <c r="F276" s="2"/>
      <c r="G276" s="3"/>
      <c r="H276" s="4"/>
      <c r="I276" s="3"/>
    </row>
    <row r="277" spans="1:9" x14ac:dyDescent="0.35">
      <c r="A277" s="6" t="str">
        <f>IF(COUNTA(B277:D277)=3, VLOOKUP(B277, [1]Configuracion!$A$2:$B$7, 2, FALSE) &amp; "-" &amp; UPPER(LEFT(C277, 3)) &amp; "-" &amp; D277, "")</f>
        <v/>
      </c>
      <c r="B277" s="3"/>
      <c r="C277" s="2"/>
      <c r="D277" s="2"/>
      <c r="E277" s="2"/>
      <c r="F277" s="2"/>
      <c r="G277" s="3"/>
      <c r="H277" s="4"/>
      <c r="I277" s="3"/>
    </row>
    <row r="278" spans="1:9" x14ac:dyDescent="0.35">
      <c r="A278" s="6" t="str">
        <f>IF(COUNTA(B278:D278)=3, VLOOKUP(B278, [1]Configuracion!$A$2:$B$7, 2, FALSE) &amp; "-" &amp; UPPER(LEFT(C278, 3)) &amp; "-" &amp; D278, "")</f>
        <v/>
      </c>
      <c r="B278" s="3"/>
      <c r="C278" s="2"/>
      <c r="D278" s="2"/>
      <c r="E278" s="2"/>
      <c r="F278" s="2"/>
      <c r="G278" s="3"/>
      <c r="H278" s="4"/>
      <c r="I278" s="3"/>
    </row>
    <row r="279" spans="1:9" x14ac:dyDescent="0.35">
      <c r="A279" s="6" t="str">
        <f>IF(COUNTA(B279:D279)=3, VLOOKUP(B279, [1]Configuracion!$A$2:$B$7, 2, FALSE) &amp; "-" &amp; UPPER(LEFT(C279, 3)) &amp; "-" &amp; D279, "")</f>
        <v/>
      </c>
      <c r="B279" s="3"/>
      <c r="C279" s="2"/>
      <c r="D279" s="2"/>
      <c r="E279" s="2"/>
      <c r="F279" s="2"/>
      <c r="G279" s="3"/>
      <c r="H279" s="4"/>
      <c r="I279" s="3"/>
    </row>
    <row r="280" spans="1:9" x14ac:dyDescent="0.35">
      <c r="A280" s="6" t="str">
        <f>IF(COUNTA(B280:D280)=3, VLOOKUP(B280, [1]Configuracion!$A$2:$B$7, 2, FALSE) &amp; "-" &amp; UPPER(LEFT(C280, 3)) &amp; "-" &amp; D280, "")</f>
        <v/>
      </c>
      <c r="B280" s="3"/>
      <c r="C280" s="2"/>
      <c r="D280" s="2"/>
      <c r="E280" s="2"/>
      <c r="F280" s="2"/>
      <c r="G280" s="3"/>
      <c r="H280" s="4"/>
      <c r="I280" s="3"/>
    </row>
    <row r="281" spans="1:9" x14ac:dyDescent="0.35">
      <c r="A281" s="6" t="str">
        <f>IF(COUNTA(B281:D281)=3, VLOOKUP(B281, [1]Configuracion!$A$2:$B$7, 2, FALSE) &amp; "-" &amp; UPPER(LEFT(C281, 3)) &amp; "-" &amp; D281, "")</f>
        <v/>
      </c>
      <c r="B281" s="3"/>
      <c r="C281" s="2"/>
      <c r="D281" s="2"/>
      <c r="E281" s="2"/>
      <c r="F281" s="2"/>
      <c r="G281" s="3"/>
      <c r="H281" s="4"/>
      <c r="I281" s="3"/>
    </row>
    <row r="282" spans="1:9" x14ac:dyDescent="0.35">
      <c r="A282" s="6" t="str">
        <f>IF(COUNTA(B282:D282)=3, VLOOKUP(B282, [1]Configuracion!$A$2:$B$7, 2, FALSE) &amp; "-" &amp; UPPER(LEFT(C282, 3)) &amp; "-" &amp; D282, "")</f>
        <v/>
      </c>
      <c r="B282" s="3"/>
      <c r="C282" s="2"/>
      <c r="D282" s="2"/>
      <c r="E282" s="2"/>
      <c r="F282" s="2"/>
      <c r="G282" s="3"/>
      <c r="H282" s="4"/>
      <c r="I282" s="3"/>
    </row>
    <row r="283" spans="1:9" x14ac:dyDescent="0.35">
      <c r="A283" s="6" t="str">
        <f>IF(COUNTA(B283:D283)=3, VLOOKUP(B283, [1]Configuracion!$A$2:$B$7, 2, FALSE) &amp; "-" &amp; UPPER(LEFT(C283, 3)) &amp; "-" &amp; D283, "")</f>
        <v/>
      </c>
      <c r="B283" s="3"/>
      <c r="C283" s="2"/>
      <c r="D283" s="2"/>
      <c r="E283" s="2"/>
      <c r="F283" s="2"/>
      <c r="G283" s="3"/>
      <c r="H283" s="4"/>
      <c r="I283" s="3"/>
    </row>
    <row r="284" spans="1:9" x14ac:dyDescent="0.35">
      <c r="A284" s="6" t="str">
        <f>IF(COUNTA(B284:D284)=3, VLOOKUP(B284, [1]Configuracion!$A$2:$B$7, 2, FALSE) &amp; "-" &amp; UPPER(LEFT(C284, 3)) &amp; "-" &amp; D284, "")</f>
        <v/>
      </c>
      <c r="B284" s="3"/>
      <c r="C284" s="2"/>
      <c r="D284" s="2"/>
      <c r="E284" s="2"/>
      <c r="F284" s="2"/>
      <c r="G284" s="3"/>
      <c r="H284" s="4"/>
      <c r="I284" s="3"/>
    </row>
    <row r="285" spans="1:9" x14ac:dyDescent="0.35">
      <c r="A285" s="6" t="str">
        <f>IF(COUNTA(B285:D285)=3, VLOOKUP(B285, [1]Configuracion!$A$2:$B$7, 2, FALSE) &amp; "-" &amp; UPPER(LEFT(C285, 3)) &amp; "-" &amp; D285, "")</f>
        <v/>
      </c>
      <c r="B285" s="3"/>
      <c r="C285" s="2"/>
      <c r="D285" s="2"/>
      <c r="E285" s="2"/>
      <c r="F285" s="2"/>
      <c r="G285" s="3"/>
      <c r="H285" s="4"/>
      <c r="I285" s="3"/>
    </row>
    <row r="286" spans="1:9" x14ac:dyDescent="0.35">
      <c r="A286" s="6" t="str">
        <f>IF(COUNTA(B286:D286)=3, VLOOKUP(B286, [1]Configuracion!$A$2:$B$7, 2, FALSE) &amp; "-" &amp; UPPER(LEFT(C286, 3)) &amp; "-" &amp; D286, "")</f>
        <v/>
      </c>
      <c r="B286" s="3"/>
      <c r="C286" s="2"/>
      <c r="D286" s="2"/>
      <c r="E286" s="2"/>
      <c r="F286" s="2"/>
      <c r="G286" s="3"/>
      <c r="H286" s="4"/>
      <c r="I286" s="3"/>
    </row>
    <row r="287" spans="1:9" x14ac:dyDescent="0.35">
      <c r="A287" s="6" t="str">
        <f>IF(COUNTA(B287:D287)=3, VLOOKUP(B287, [1]Configuracion!$A$2:$B$7, 2, FALSE) &amp; "-" &amp; UPPER(LEFT(C287, 3)) &amp; "-" &amp; D287, "")</f>
        <v/>
      </c>
      <c r="B287" s="3"/>
      <c r="C287" s="2"/>
      <c r="D287" s="2"/>
      <c r="E287" s="2"/>
      <c r="F287" s="2"/>
      <c r="G287" s="3"/>
      <c r="H287" s="4"/>
      <c r="I287" s="3"/>
    </row>
    <row r="288" spans="1:9" x14ac:dyDescent="0.35">
      <c r="A288" s="6" t="str">
        <f>IF(COUNTA(B288:D288)=3, VLOOKUP(B288, [1]Configuracion!$A$2:$B$7, 2, FALSE) &amp; "-" &amp; UPPER(LEFT(C288, 3)) &amp; "-" &amp; D288, "")</f>
        <v/>
      </c>
      <c r="B288" s="3"/>
      <c r="C288" s="2"/>
      <c r="D288" s="2"/>
      <c r="E288" s="2"/>
      <c r="F288" s="2"/>
      <c r="G288" s="3"/>
      <c r="H288" s="4"/>
      <c r="I288" s="3"/>
    </row>
    <row r="289" spans="1:9" x14ac:dyDescent="0.35">
      <c r="A289" s="6" t="str">
        <f>IF(COUNTA(B289:D289)=3, VLOOKUP(B289, [1]Configuracion!$A$2:$B$7, 2, FALSE) &amp; "-" &amp; UPPER(LEFT(C289, 3)) &amp; "-" &amp; D289, "")</f>
        <v/>
      </c>
      <c r="B289" s="3"/>
      <c r="C289" s="2"/>
      <c r="D289" s="2"/>
      <c r="E289" s="2"/>
      <c r="F289" s="2"/>
      <c r="G289" s="3"/>
      <c r="H289" s="4"/>
      <c r="I289" s="3"/>
    </row>
    <row r="290" spans="1:9" x14ac:dyDescent="0.35">
      <c r="A290" s="6" t="str">
        <f>IF(COUNTA(B290:D290)=3, VLOOKUP(B290, [1]Configuracion!$A$2:$B$7, 2, FALSE) &amp; "-" &amp; UPPER(LEFT(C290, 3)) &amp; "-" &amp; D290, "")</f>
        <v/>
      </c>
      <c r="B290" s="3"/>
      <c r="C290" s="2"/>
      <c r="D290" s="2"/>
      <c r="E290" s="2"/>
      <c r="F290" s="2"/>
      <c r="G290" s="3"/>
      <c r="H290" s="4"/>
      <c r="I290" s="3"/>
    </row>
    <row r="291" spans="1:9" x14ac:dyDescent="0.35">
      <c r="A291" s="6" t="str">
        <f>IF(COUNTA(B291:D291)=3, VLOOKUP(B291, [1]Configuracion!$A$2:$B$7, 2, FALSE) &amp; "-" &amp; UPPER(LEFT(C291, 3)) &amp; "-" &amp; D291, "")</f>
        <v/>
      </c>
      <c r="B291" s="3"/>
      <c r="C291" s="2"/>
      <c r="D291" s="2"/>
      <c r="E291" s="2"/>
      <c r="F291" s="2"/>
      <c r="G291" s="3"/>
      <c r="H291" s="4"/>
      <c r="I291" s="3"/>
    </row>
    <row r="292" spans="1:9" x14ac:dyDescent="0.35">
      <c r="A292" s="6" t="str">
        <f>IF(COUNTA(B292:D292)=3, VLOOKUP(B292, [1]Configuracion!$A$2:$B$7, 2, FALSE) &amp; "-" &amp; UPPER(LEFT(C292, 3)) &amp; "-" &amp; D292, "")</f>
        <v/>
      </c>
      <c r="B292" s="3"/>
      <c r="C292" s="2"/>
      <c r="D292" s="2"/>
      <c r="E292" s="2"/>
      <c r="F292" s="2"/>
      <c r="G292" s="3"/>
      <c r="H292" s="4"/>
      <c r="I292" s="3"/>
    </row>
    <row r="293" spans="1:9" x14ac:dyDescent="0.35">
      <c r="A293" s="6" t="str">
        <f>IF(COUNTA(B293:D293)=3, VLOOKUP(B293, [1]Configuracion!$A$2:$B$7, 2, FALSE) &amp; "-" &amp; UPPER(LEFT(C293, 3)) &amp; "-" &amp; D293, "")</f>
        <v/>
      </c>
      <c r="B293" s="3"/>
      <c r="C293" s="2"/>
      <c r="D293" s="2"/>
      <c r="E293" s="2"/>
      <c r="F293" s="2"/>
      <c r="G293" s="3"/>
      <c r="H293" s="4"/>
      <c r="I293" s="3"/>
    </row>
    <row r="294" spans="1:9" x14ac:dyDescent="0.35">
      <c r="A294" s="6" t="str">
        <f>IF(COUNTA(B294:D294)=3, VLOOKUP(B294, [1]Configuracion!$A$2:$B$7, 2, FALSE) &amp; "-" &amp; UPPER(LEFT(C294, 3)) &amp; "-" &amp; D294, "")</f>
        <v/>
      </c>
      <c r="B294" s="3"/>
      <c r="C294" s="2"/>
      <c r="D294" s="2"/>
      <c r="E294" s="2"/>
      <c r="F294" s="2"/>
      <c r="G294" s="3"/>
      <c r="H294" s="4"/>
      <c r="I294" s="3"/>
    </row>
    <row r="295" spans="1:9" x14ac:dyDescent="0.35">
      <c r="A295" s="6" t="str">
        <f>IF(COUNTA(B295:D295)=3, VLOOKUP(B295, [1]Configuracion!$A$2:$B$7, 2, FALSE) &amp; "-" &amp; UPPER(LEFT(C295, 3)) &amp; "-" &amp; D295, "")</f>
        <v/>
      </c>
      <c r="B295" s="3"/>
      <c r="C295" s="2"/>
      <c r="D295" s="2"/>
      <c r="E295" s="2"/>
      <c r="F295" s="2"/>
      <c r="G295" s="3"/>
      <c r="H295" s="4"/>
      <c r="I295" s="3"/>
    </row>
    <row r="296" spans="1:9" x14ac:dyDescent="0.35">
      <c r="A296" s="6" t="str">
        <f>IF(COUNTA(B296:D296)=3, VLOOKUP(B296, [1]Configuracion!$A$2:$B$7, 2, FALSE) &amp; "-" &amp; UPPER(LEFT(C296, 3)) &amp; "-" &amp; D296, "")</f>
        <v/>
      </c>
      <c r="B296" s="3"/>
      <c r="C296" s="2"/>
      <c r="D296" s="2"/>
      <c r="E296" s="2"/>
      <c r="F296" s="2"/>
      <c r="G296" s="3"/>
      <c r="H296" s="4"/>
      <c r="I296" s="3"/>
    </row>
    <row r="297" spans="1:9" x14ac:dyDescent="0.35">
      <c r="A297" s="6" t="str">
        <f>IF(COUNTA(B297:D297)=3, VLOOKUP(B297, [1]Configuracion!$A$2:$B$7, 2, FALSE) &amp; "-" &amp; UPPER(LEFT(C297, 3)) &amp; "-" &amp; D297, "")</f>
        <v/>
      </c>
      <c r="B297" s="3"/>
      <c r="C297" s="2"/>
      <c r="D297" s="2"/>
      <c r="E297" s="2"/>
      <c r="F297" s="2"/>
      <c r="G297" s="3"/>
      <c r="H297" s="4"/>
      <c r="I297" s="3"/>
    </row>
    <row r="298" spans="1:9" x14ac:dyDescent="0.35">
      <c r="A298" s="6" t="str">
        <f>IF(COUNTA(B298:D298)=3, VLOOKUP(B298, [1]Configuracion!$A$2:$B$7, 2, FALSE) &amp; "-" &amp; UPPER(LEFT(C298, 3)) &amp; "-" &amp; D298, "")</f>
        <v/>
      </c>
      <c r="B298" s="3"/>
      <c r="C298" s="2"/>
      <c r="D298" s="2"/>
      <c r="E298" s="2"/>
      <c r="F298" s="2"/>
      <c r="G298" s="3"/>
      <c r="H298" s="4"/>
      <c r="I298" s="3"/>
    </row>
    <row r="299" spans="1:9" x14ac:dyDescent="0.35">
      <c r="A299" s="6" t="str">
        <f>IF(COUNTA(B299:D299)=3, VLOOKUP(B299, [1]Configuracion!$A$2:$B$7, 2, FALSE) &amp; "-" &amp; UPPER(LEFT(C299, 3)) &amp; "-" &amp; D299, "")</f>
        <v/>
      </c>
      <c r="B299" s="3"/>
      <c r="C299" s="2"/>
      <c r="D299" s="2"/>
      <c r="E299" s="2"/>
      <c r="F299" s="2"/>
      <c r="G299" s="3"/>
      <c r="H299" s="4"/>
      <c r="I299" s="3"/>
    </row>
    <row r="300" spans="1:9" x14ac:dyDescent="0.35">
      <c r="A300" s="6" t="str">
        <f>IF(COUNTA(B300:D300)=3, VLOOKUP(B300, [1]Configuracion!$A$2:$B$7, 2, FALSE) &amp; "-" &amp; UPPER(LEFT(C300, 3)) &amp; "-" &amp; D300, "")</f>
        <v/>
      </c>
      <c r="B300" s="3"/>
      <c r="C300" s="2"/>
      <c r="D300" s="2"/>
      <c r="E300" s="2"/>
      <c r="F300" s="2"/>
      <c r="G300" s="3"/>
      <c r="H300" s="4"/>
      <c r="I300" s="3"/>
    </row>
    <row r="301" spans="1:9" x14ac:dyDescent="0.35">
      <c r="A301" s="6" t="str">
        <f>IF(COUNTA(B301:D301)=3, VLOOKUP(B301, [1]Configuracion!$A$2:$B$7, 2, FALSE) &amp; "-" &amp; UPPER(LEFT(C301, 3)) &amp; "-" &amp; D301, "")</f>
        <v/>
      </c>
      <c r="B301" s="3"/>
      <c r="C301" s="2"/>
      <c r="D301" s="2"/>
      <c r="E301" s="2"/>
      <c r="F301" s="2"/>
      <c r="G301" s="3"/>
      <c r="H301" s="4"/>
      <c r="I301" s="3"/>
    </row>
    <row r="302" spans="1:9" x14ac:dyDescent="0.35">
      <c r="A302" s="6" t="str">
        <f>IF(COUNTA(B302:D302)=3, VLOOKUP(B302, [1]Configuracion!$A$2:$B$7, 2, FALSE) &amp; "-" &amp; UPPER(LEFT(C302, 3)) &amp; "-" &amp; D302, "")</f>
        <v/>
      </c>
      <c r="B302" s="3"/>
      <c r="C302" s="2"/>
      <c r="D302" s="2"/>
      <c r="E302" s="2"/>
      <c r="F302" s="2"/>
      <c r="G302" s="3"/>
      <c r="H302" s="4"/>
      <c r="I302" s="3"/>
    </row>
    <row r="303" spans="1:9" x14ac:dyDescent="0.35">
      <c r="A303" s="6" t="str">
        <f>IF(COUNTA(B303:D303)=3, VLOOKUP(B303, [1]Configuracion!$A$2:$B$7, 2, FALSE) &amp; "-" &amp; UPPER(LEFT(C303, 3)) &amp; "-" &amp; D303, "")</f>
        <v/>
      </c>
      <c r="B303" s="3"/>
      <c r="C303" s="2"/>
      <c r="D303" s="2"/>
      <c r="E303" s="2"/>
      <c r="F303" s="2"/>
      <c r="G303" s="3"/>
      <c r="H303" s="4"/>
      <c r="I303" s="3"/>
    </row>
    <row r="304" spans="1:9" x14ac:dyDescent="0.35">
      <c r="A304" s="6" t="str">
        <f>IF(COUNTA(B304:D304)=3, VLOOKUP(B304, [1]Configuracion!$A$2:$B$7, 2, FALSE) &amp; "-" &amp; UPPER(LEFT(C304, 3)) &amp; "-" &amp; D304, "")</f>
        <v/>
      </c>
      <c r="B304" s="3"/>
      <c r="C304" s="2"/>
      <c r="D304" s="2"/>
      <c r="E304" s="2"/>
      <c r="F304" s="2"/>
      <c r="G304" s="3"/>
      <c r="H304" s="4"/>
      <c r="I304" s="3"/>
    </row>
    <row r="305" spans="1:9" x14ac:dyDescent="0.35">
      <c r="A305" s="6" t="str">
        <f>IF(COUNTA(B305:D305)=3, VLOOKUP(B305, [1]Configuracion!$A$2:$B$7, 2, FALSE) &amp; "-" &amp; UPPER(LEFT(C305, 3)) &amp; "-" &amp; D305, "")</f>
        <v/>
      </c>
      <c r="B305" s="3"/>
      <c r="C305" s="2"/>
      <c r="D305" s="2"/>
      <c r="E305" s="2"/>
      <c r="F305" s="2"/>
      <c r="G305" s="3"/>
      <c r="H305" s="4"/>
      <c r="I305" s="3"/>
    </row>
    <row r="306" spans="1:9" x14ac:dyDescent="0.35">
      <c r="A306" s="6" t="str">
        <f>IF(COUNTA(B306:D306)=3, VLOOKUP(B306, [1]Configuracion!$A$2:$B$7, 2, FALSE) &amp; "-" &amp; UPPER(LEFT(C306, 3)) &amp; "-" &amp; D306, "")</f>
        <v/>
      </c>
      <c r="B306" s="3"/>
      <c r="C306" s="2"/>
      <c r="D306" s="2"/>
      <c r="E306" s="2"/>
      <c r="F306" s="2"/>
      <c r="G306" s="3"/>
      <c r="H306" s="4"/>
      <c r="I306" s="3"/>
    </row>
    <row r="307" spans="1:9" x14ac:dyDescent="0.35">
      <c r="A307" s="6" t="str">
        <f>IF(COUNTA(B307:D307)=3, VLOOKUP(B307, [1]Configuracion!$A$2:$B$7, 2, FALSE) &amp; "-" &amp; UPPER(LEFT(C307, 3)) &amp; "-" &amp; D307, "")</f>
        <v/>
      </c>
      <c r="B307" s="3"/>
      <c r="C307" s="2"/>
      <c r="D307" s="2"/>
      <c r="E307" s="2"/>
      <c r="F307" s="2"/>
      <c r="G307" s="3"/>
      <c r="H307" s="4"/>
      <c r="I307" s="3"/>
    </row>
    <row r="308" spans="1:9" x14ac:dyDescent="0.35">
      <c r="A308" s="6" t="str">
        <f>IF(COUNTA(B308:D308)=3, VLOOKUP(B308, [1]Configuracion!$A$2:$B$7, 2, FALSE) &amp; "-" &amp; UPPER(LEFT(C308, 3)) &amp; "-" &amp; D308, "")</f>
        <v/>
      </c>
      <c r="B308" s="3"/>
      <c r="C308" s="2"/>
      <c r="D308" s="2"/>
      <c r="E308" s="2"/>
      <c r="F308" s="2"/>
      <c r="G308" s="3"/>
      <c r="H308" s="4"/>
      <c r="I308" s="3"/>
    </row>
    <row r="309" spans="1:9" x14ac:dyDescent="0.35">
      <c r="A309" s="6" t="str">
        <f>IF(COUNTA(B309:D309)=3, VLOOKUP(B309, [1]Configuracion!$A$2:$B$7, 2, FALSE) &amp; "-" &amp; UPPER(LEFT(C309, 3)) &amp; "-" &amp; D309, "")</f>
        <v/>
      </c>
      <c r="B309" s="3"/>
      <c r="C309" s="2"/>
      <c r="D309" s="2"/>
      <c r="E309" s="2"/>
      <c r="F309" s="2"/>
      <c r="G309" s="3"/>
      <c r="H309" s="4"/>
      <c r="I309" s="3"/>
    </row>
    <row r="310" spans="1:9" x14ac:dyDescent="0.35">
      <c r="A310" s="6" t="str">
        <f>IF(COUNTA(B310:D310)=3, VLOOKUP(B310, [1]Configuracion!$A$2:$B$7, 2, FALSE) &amp; "-" &amp; UPPER(LEFT(C310, 3)) &amp; "-" &amp; D310, "")</f>
        <v/>
      </c>
      <c r="B310" s="3"/>
      <c r="C310" s="2"/>
      <c r="D310" s="2"/>
      <c r="E310" s="2"/>
      <c r="F310" s="2"/>
      <c r="G310" s="3"/>
      <c r="H310" s="4"/>
      <c r="I310" s="3"/>
    </row>
    <row r="311" spans="1:9" x14ac:dyDescent="0.35">
      <c r="A311" s="6" t="str">
        <f>IF(COUNTA(B311:D311)=3, VLOOKUP(B311, [1]Configuracion!$A$2:$B$7, 2, FALSE) &amp; "-" &amp; UPPER(LEFT(C311, 3)) &amp; "-" &amp; D311, "")</f>
        <v/>
      </c>
      <c r="B311" s="3"/>
      <c r="C311" s="2"/>
      <c r="D311" s="2"/>
      <c r="E311" s="2"/>
      <c r="F311" s="2"/>
      <c r="G311" s="3"/>
      <c r="H311" s="4"/>
      <c r="I311" s="3"/>
    </row>
    <row r="312" spans="1:9" x14ac:dyDescent="0.35">
      <c r="A312" s="6" t="str">
        <f>IF(COUNTA(B312:D312)=3, VLOOKUP(B312, [1]Configuracion!$A$2:$B$7, 2, FALSE) &amp; "-" &amp; UPPER(LEFT(C312, 3)) &amp; "-" &amp; D312, "")</f>
        <v/>
      </c>
      <c r="B312" s="3"/>
      <c r="C312" s="2"/>
      <c r="D312" s="2"/>
      <c r="E312" s="2"/>
      <c r="F312" s="2"/>
      <c r="G312" s="3"/>
      <c r="H312" s="4"/>
      <c r="I312" s="3"/>
    </row>
    <row r="313" spans="1:9" x14ac:dyDescent="0.35">
      <c r="A313" s="6" t="str">
        <f>IF(COUNTA(B313:D313)=3, VLOOKUP(B313, [1]Configuracion!$A$2:$B$7, 2, FALSE) &amp; "-" &amp; UPPER(LEFT(C313, 3)) &amp; "-" &amp; D313, "")</f>
        <v/>
      </c>
      <c r="B313" s="3"/>
      <c r="C313" s="2"/>
      <c r="D313" s="2"/>
      <c r="E313" s="2"/>
      <c r="F313" s="2"/>
      <c r="G313" s="3"/>
      <c r="H313" s="4"/>
      <c r="I313" s="3"/>
    </row>
    <row r="314" spans="1:9" x14ac:dyDescent="0.35">
      <c r="A314" s="6" t="str">
        <f>IF(COUNTA(B314:D314)=3, VLOOKUP(B314, [1]Configuracion!$A$2:$B$7, 2, FALSE) &amp; "-" &amp; UPPER(LEFT(C314, 3)) &amp; "-" &amp; D314, "")</f>
        <v/>
      </c>
      <c r="B314" s="3"/>
      <c r="C314" s="2"/>
      <c r="D314" s="2"/>
      <c r="E314" s="2"/>
      <c r="F314" s="2"/>
      <c r="G314" s="3"/>
      <c r="H314" s="4"/>
      <c r="I314" s="3"/>
    </row>
    <row r="315" spans="1:9" x14ac:dyDescent="0.35">
      <c r="A315" s="6" t="str">
        <f>IF(COUNTA(B315:D315)=3, VLOOKUP(B315, [1]Configuracion!$A$2:$B$7, 2, FALSE) &amp; "-" &amp; UPPER(LEFT(C315, 3)) &amp; "-" &amp; D315, "")</f>
        <v/>
      </c>
      <c r="B315" s="3"/>
      <c r="C315" s="2"/>
      <c r="D315" s="2"/>
      <c r="E315" s="2"/>
      <c r="F315" s="2"/>
      <c r="G315" s="3"/>
      <c r="H315" s="4"/>
      <c r="I315" s="3"/>
    </row>
    <row r="316" spans="1:9" x14ac:dyDescent="0.35">
      <c r="A316" s="6" t="str">
        <f>IF(COUNTA(B316:D316)=3, VLOOKUP(B316, [1]Configuracion!$A$2:$B$7, 2, FALSE) &amp; "-" &amp; UPPER(LEFT(C316, 3)) &amp; "-" &amp; D316, "")</f>
        <v/>
      </c>
      <c r="B316" s="3"/>
      <c r="C316" s="2"/>
      <c r="D316" s="2"/>
      <c r="E316" s="2"/>
      <c r="F316" s="2"/>
      <c r="G316" s="3"/>
      <c r="H316" s="4"/>
      <c r="I316" s="3"/>
    </row>
    <row r="317" spans="1:9" x14ac:dyDescent="0.35">
      <c r="A317" s="6" t="str">
        <f>IF(COUNTA(B317:D317)=3, VLOOKUP(B317, [1]Configuracion!$A$2:$B$7, 2, FALSE) &amp; "-" &amp; UPPER(LEFT(C317, 3)) &amp; "-" &amp; D317, "")</f>
        <v/>
      </c>
      <c r="B317" s="3"/>
      <c r="C317" s="2"/>
      <c r="D317" s="2"/>
      <c r="E317" s="2"/>
      <c r="F317" s="2"/>
      <c r="G317" s="3"/>
      <c r="H317" s="4"/>
      <c r="I317" s="3"/>
    </row>
    <row r="318" spans="1:9" x14ac:dyDescent="0.35">
      <c r="A318" s="6" t="str">
        <f>IF(COUNTA(B318:D318)=3, VLOOKUP(B318, [1]Configuracion!$A$2:$B$7, 2, FALSE) &amp; "-" &amp; UPPER(LEFT(C318, 3)) &amp; "-" &amp; D318, "")</f>
        <v/>
      </c>
      <c r="B318" s="3"/>
      <c r="C318" s="2"/>
      <c r="D318" s="2"/>
      <c r="E318" s="2"/>
      <c r="F318" s="2"/>
      <c r="G318" s="3"/>
      <c r="H318" s="4"/>
      <c r="I318" s="3"/>
    </row>
    <row r="319" spans="1:9" x14ac:dyDescent="0.35">
      <c r="A319" s="6" t="str">
        <f>IF(COUNTA(B319:D319)=3, VLOOKUP(B319, [1]Configuracion!$A$2:$B$7, 2, FALSE) &amp; "-" &amp; UPPER(LEFT(C319, 3)) &amp; "-" &amp; D319, "")</f>
        <v/>
      </c>
      <c r="B319" s="3"/>
      <c r="C319" s="2"/>
      <c r="D319" s="2"/>
      <c r="E319" s="2"/>
      <c r="F319" s="2"/>
      <c r="G319" s="3"/>
      <c r="H319" s="4"/>
      <c r="I319" s="3"/>
    </row>
    <row r="320" spans="1:9" x14ac:dyDescent="0.35">
      <c r="A320" s="6" t="str">
        <f>IF(COUNTA(B320:D320)=3, VLOOKUP(B320, [1]Configuracion!$A$2:$B$7, 2, FALSE) &amp; "-" &amp; UPPER(LEFT(C320, 3)) &amp; "-" &amp; D320, "")</f>
        <v/>
      </c>
      <c r="B320" s="3"/>
      <c r="C320" s="2"/>
      <c r="D320" s="2"/>
      <c r="E320" s="2"/>
      <c r="F320" s="2"/>
      <c r="G320" s="3"/>
      <c r="H320" s="4"/>
      <c r="I320" s="3"/>
    </row>
    <row r="321" spans="1:9" x14ac:dyDescent="0.35">
      <c r="A321" s="6" t="str">
        <f>IF(COUNTA(B321:D321)=3, VLOOKUP(B321, [1]Configuracion!$A$2:$B$7, 2, FALSE) &amp; "-" &amp; UPPER(LEFT(C321, 3)) &amp; "-" &amp; D321, "")</f>
        <v/>
      </c>
      <c r="B321" s="3"/>
      <c r="C321" s="2"/>
      <c r="D321" s="2"/>
      <c r="E321" s="2"/>
      <c r="F321" s="2"/>
      <c r="G321" s="3"/>
      <c r="H321" s="4"/>
      <c r="I321" s="3"/>
    </row>
    <row r="322" spans="1:9" x14ac:dyDescent="0.35">
      <c r="A322" s="6" t="str">
        <f>IF(COUNTA(B322:D322)=3, VLOOKUP(B322, [1]Configuracion!$A$2:$B$7, 2, FALSE) &amp; "-" &amp; UPPER(LEFT(C322, 3)) &amp; "-" &amp; D322, "")</f>
        <v/>
      </c>
      <c r="B322" s="3"/>
      <c r="C322" s="2"/>
      <c r="D322" s="2"/>
      <c r="E322" s="2"/>
      <c r="F322" s="2"/>
      <c r="G322" s="3"/>
      <c r="H322" s="4"/>
      <c r="I322" s="3"/>
    </row>
    <row r="323" spans="1:9" x14ac:dyDescent="0.35">
      <c r="A323" s="6" t="str">
        <f>IF(COUNTA(B323:D323)=3, VLOOKUP(B323, [1]Configuracion!$A$2:$B$7, 2, FALSE) &amp; "-" &amp; UPPER(LEFT(C323, 3)) &amp; "-" &amp; D323, "")</f>
        <v/>
      </c>
      <c r="B323" s="3"/>
      <c r="C323" s="2"/>
      <c r="D323" s="2"/>
      <c r="E323" s="2"/>
      <c r="F323" s="2"/>
      <c r="G323" s="3"/>
      <c r="H323" s="4"/>
      <c r="I323" s="3"/>
    </row>
    <row r="324" spans="1:9" x14ac:dyDescent="0.35">
      <c r="A324" s="6" t="str">
        <f>IF(COUNTA(B324:D324)=3, VLOOKUP(B324, [1]Configuracion!$A$2:$B$7, 2, FALSE) &amp; "-" &amp; UPPER(LEFT(C324, 3)) &amp; "-" &amp; D324, "")</f>
        <v/>
      </c>
      <c r="B324" s="3"/>
      <c r="C324" s="2"/>
      <c r="D324" s="2"/>
      <c r="E324" s="2"/>
      <c r="F324" s="2"/>
      <c r="G324" s="3"/>
      <c r="H324" s="4"/>
      <c r="I324" s="3"/>
    </row>
    <row r="325" spans="1:9" x14ac:dyDescent="0.35">
      <c r="A325" s="6" t="str">
        <f>IF(COUNTA(B325:D325)=3, VLOOKUP(B325, [1]Configuracion!$A$2:$B$7, 2, FALSE) &amp; "-" &amp; UPPER(LEFT(C325, 3)) &amp; "-" &amp; D325, "")</f>
        <v/>
      </c>
      <c r="B325" s="3"/>
      <c r="C325" s="2"/>
      <c r="D325" s="2"/>
      <c r="E325" s="2"/>
      <c r="F325" s="2"/>
      <c r="G325" s="3"/>
      <c r="H325" s="4"/>
      <c r="I325" s="3"/>
    </row>
    <row r="326" spans="1:9" x14ac:dyDescent="0.35">
      <c r="A326" s="6" t="str">
        <f>IF(COUNTA(B326:D326)=3, VLOOKUP(B326, [1]Configuracion!$A$2:$B$7, 2, FALSE) &amp; "-" &amp; UPPER(LEFT(C326, 3)) &amp; "-" &amp; D326, "")</f>
        <v/>
      </c>
      <c r="B326" s="3"/>
      <c r="C326" s="2"/>
      <c r="D326" s="2"/>
      <c r="E326" s="2"/>
      <c r="F326" s="2"/>
      <c r="G326" s="3"/>
      <c r="H326" s="4"/>
      <c r="I326" s="3"/>
    </row>
    <row r="327" spans="1:9" x14ac:dyDescent="0.35">
      <c r="A327" s="6" t="str">
        <f>IF(COUNTA(B327:D327)=3, VLOOKUP(B327, [1]Configuracion!$A$2:$B$7, 2, FALSE) &amp; "-" &amp; UPPER(LEFT(C327, 3)) &amp; "-" &amp; D327, "")</f>
        <v/>
      </c>
      <c r="B327" s="3"/>
      <c r="C327" s="2"/>
      <c r="D327" s="2"/>
      <c r="E327" s="2"/>
      <c r="F327" s="2"/>
      <c r="G327" s="3"/>
      <c r="H327" s="4"/>
      <c r="I327" s="3"/>
    </row>
    <row r="328" spans="1:9" x14ac:dyDescent="0.35">
      <c r="A328" s="6" t="str">
        <f>IF(COUNTA(B328:D328)=3, VLOOKUP(B328, [1]Configuracion!$A$2:$B$7, 2, FALSE) &amp; "-" &amp; UPPER(LEFT(C328, 3)) &amp; "-" &amp; D328, "")</f>
        <v/>
      </c>
      <c r="B328" s="3"/>
      <c r="C328" s="2"/>
      <c r="D328" s="2"/>
      <c r="E328" s="2"/>
      <c r="F328" s="2"/>
      <c r="G328" s="3"/>
      <c r="H328" s="4"/>
      <c r="I328" s="3"/>
    </row>
    <row r="329" spans="1:9" x14ac:dyDescent="0.35">
      <c r="A329" s="6" t="str">
        <f>IF(COUNTA(B329:D329)=3, VLOOKUP(B329, [1]Configuracion!$A$2:$B$7, 2, FALSE) &amp; "-" &amp; UPPER(LEFT(C329, 3)) &amp; "-" &amp; D329, "")</f>
        <v/>
      </c>
      <c r="B329" s="3"/>
      <c r="C329" s="2"/>
      <c r="D329" s="2"/>
      <c r="E329" s="2"/>
      <c r="F329" s="2"/>
      <c r="G329" s="3"/>
      <c r="H329" s="4"/>
      <c r="I329" s="3"/>
    </row>
    <row r="330" spans="1:9" x14ac:dyDescent="0.35">
      <c r="A330" s="6" t="str">
        <f>IF(COUNTA(B330:D330)=3, VLOOKUP(B330, [1]Configuracion!$A$2:$B$7, 2, FALSE) &amp; "-" &amp; UPPER(LEFT(C330, 3)) &amp; "-" &amp; D330, "")</f>
        <v/>
      </c>
      <c r="B330" s="3"/>
      <c r="C330" s="2"/>
      <c r="D330" s="2"/>
      <c r="E330" s="2"/>
      <c r="F330" s="2"/>
      <c r="G330" s="3"/>
      <c r="H330" s="4"/>
      <c r="I330" s="3"/>
    </row>
    <row r="331" spans="1:9" x14ac:dyDescent="0.35">
      <c r="A331" s="6" t="str">
        <f>IF(COUNTA(B331:D331)=3, VLOOKUP(B331, [1]Configuracion!$A$2:$B$7, 2, FALSE) &amp; "-" &amp; UPPER(LEFT(C331, 3)) &amp; "-" &amp; D331, "")</f>
        <v/>
      </c>
      <c r="B331" s="3"/>
      <c r="C331" s="2"/>
      <c r="D331" s="2"/>
      <c r="E331" s="2"/>
      <c r="F331" s="2"/>
      <c r="G331" s="3"/>
      <c r="H331" s="4"/>
      <c r="I331" s="3"/>
    </row>
    <row r="332" spans="1:9" x14ac:dyDescent="0.35">
      <c r="A332" s="6" t="str">
        <f>IF(COUNTA(B332:D332)=3, VLOOKUP(B332, [1]Configuracion!$A$2:$B$7, 2, FALSE) &amp; "-" &amp; UPPER(LEFT(C332, 3)) &amp; "-" &amp; D332, "")</f>
        <v/>
      </c>
      <c r="B332" s="3"/>
      <c r="C332" s="2"/>
      <c r="D332" s="2"/>
      <c r="E332" s="2"/>
      <c r="F332" s="2"/>
      <c r="G332" s="3"/>
      <c r="H332" s="4"/>
      <c r="I332" s="3"/>
    </row>
    <row r="333" spans="1:9" x14ac:dyDescent="0.35">
      <c r="A333" s="6" t="str">
        <f>IF(COUNTA(B333:D333)=3, VLOOKUP(B333, [1]Configuracion!$A$2:$B$7, 2, FALSE) &amp; "-" &amp; UPPER(LEFT(C333, 3)) &amp; "-" &amp; D333, "")</f>
        <v/>
      </c>
      <c r="B333" s="3"/>
      <c r="C333" s="2"/>
      <c r="D333" s="2"/>
      <c r="E333" s="2"/>
      <c r="F333" s="2"/>
      <c r="G333" s="3"/>
      <c r="H333" s="4"/>
      <c r="I333" s="3"/>
    </row>
    <row r="334" spans="1:9" x14ac:dyDescent="0.35">
      <c r="A334" s="6" t="str">
        <f>IF(COUNTA(B334:D334)=3, VLOOKUP(B334, [1]Configuracion!$A$2:$B$7, 2, FALSE) &amp; "-" &amp; UPPER(LEFT(C334, 3)) &amp; "-" &amp; D334, "")</f>
        <v/>
      </c>
      <c r="B334" s="3"/>
      <c r="C334" s="2"/>
      <c r="D334" s="2"/>
      <c r="E334" s="2"/>
      <c r="F334" s="2"/>
      <c r="G334" s="3"/>
      <c r="H334" s="4"/>
      <c r="I334" s="3"/>
    </row>
    <row r="335" spans="1:9" x14ac:dyDescent="0.35">
      <c r="A335" s="6" t="str">
        <f>IF(COUNTA(B335:D335)=3, VLOOKUP(B335, [1]Configuracion!$A$2:$B$7, 2, FALSE) &amp; "-" &amp; UPPER(LEFT(C335, 3)) &amp; "-" &amp; D335, "")</f>
        <v/>
      </c>
      <c r="B335" s="3"/>
      <c r="C335" s="2"/>
      <c r="D335" s="2"/>
      <c r="E335" s="2"/>
      <c r="F335" s="2"/>
      <c r="G335" s="3"/>
      <c r="H335" s="4"/>
      <c r="I335" s="3"/>
    </row>
    <row r="336" spans="1:9" x14ac:dyDescent="0.35">
      <c r="A336" s="6" t="str">
        <f>IF(COUNTA(B336:D336)=3, VLOOKUP(B336, [1]Configuracion!$A$2:$B$7, 2, FALSE) &amp; "-" &amp; UPPER(LEFT(C336, 3)) &amp; "-" &amp; D336, "")</f>
        <v/>
      </c>
      <c r="B336" s="3"/>
      <c r="C336" s="2"/>
      <c r="D336" s="2"/>
      <c r="E336" s="2"/>
      <c r="F336" s="2"/>
      <c r="G336" s="3"/>
      <c r="H336" s="4"/>
      <c r="I336" s="3"/>
    </row>
    <row r="337" spans="1:9" x14ac:dyDescent="0.35">
      <c r="A337" s="6" t="str">
        <f>IF(COUNTA(B337:D337)=3, VLOOKUP(B337, [1]Configuracion!$A$2:$B$7, 2, FALSE) &amp; "-" &amp; UPPER(LEFT(C337, 3)) &amp; "-" &amp; D337, "")</f>
        <v/>
      </c>
      <c r="B337" s="3"/>
      <c r="C337" s="2"/>
      <c r="D337" s="2"/>
      <c r="E337" s="2"/>
      <c r="F337" s="2"/>
      <c r="G337" s="3"/>
      <c r="H337" s="4"/>
      <c r="I337" s="3"/>
    </row>
    <row r="338" spans="1:9" x14ac:dyDescent="0.35">
      <c r="A338" s="6" t="str">
        <f>IF(COUNTA(B338:D338)=3, VLOOKUP(B338, [1]Configuracion!$A$2:$B$7, 2, FALSE) &amp; "-" &amp; UPPER(LEFT(C338, 3)) &amp; "-" &amp; D338, "")</f>
        <v/>
      </c>
      <c r="B338" s="3"/>
      <c r="C338" s="2"/>
      <c r="D338" s="2"/>
      <c r="E338" s="2"/>
      <c r="F338" s="2"/>
      <c r="G338" s="3"/>
      <c r="H338" s="4"/>
      <c r="I338" s="3"/>
    </row>
    <row r="339" spans="1:9" x14ac:dyDescent="0.35">
      <c r="A339" s="6" t="str">
        <f>IF(COUNTA(B339:D339)=3, VLOOKUP(B339, [1]Configuracion!$A$2:$B$7, 2, FALSE) &amp; "-" &amp; UPPER(LEFT(C339, 3)) &amp; "-" &amp; D339, "")</f>
        <v/>
      </c>
      <c r="B339" s="3"/>
      <c r="C339" s="2"/>
      <c r="D339" s="2"/>
      <c r="E339" s="2"/>
      <c r="F339" s="2"/>
      <c r="G339" s="3"/>
      <c r="H339" s="4"/>
      <c r="I339" s="3"/>
    </row>
    <row r="340" spans="1:9" x14ac:dyDescent="0.35">
      <c r="A340" s="6" t="str">
        <f>IF(COUNTA(B340:D340)=3, VLOOKUP(B340, [1]Configuracion!$A$2:$B$7, 2, FALSE) &amp; "-" &amp; UPPER(LEFT(C340, 3)) &amp; "-" &amp; D340, "")</f>
        <v/>
      </c>
      <c r="B340" s="3"/>
      <c r="C340" s="2"/>
      <c r="D340" s="2"/>
      <c r="E340" s="2"/>
      <c r="F340" s="2"/>
      <c r="G340" s="3"/>
      <c r="H340" s="4"/>
      <c r="I340" s="3"/>
    </row>
    <row r="341" spans="1:9" x14ac:dyDescent="0.35">
      <c r="A341" s="6" t="str">
        <f>IF(COUNTA(B341:D341)=3, VLOOKUP(B341, [1]Configuracion!$A$2:$B$7, 2, FALSE) &amp; "-" &amp; UPPER(LEFT(C341, 3)) &amp; "-" &amp; D341, "")</f>
        <v/>
      </c>
      <c r="B341" s="3"/>
      <c r="C341" s="2"/>
      <c r="D341" s="2"/>
      <c r="E341" s="2"/>
      <c r="F341" s="2"/>
      <c r="G341" s="3"/>
      <c r="H341" s="4"/>
      <c r="I341" s="3"/>
    </row>
    <row r="342" spans="1:9" x14ac:dyDescent="0.35">
      <c r="A342" s="6" t="str">
        <f>IF(COUNTA(B342:D342)=3, VLOOKUP(B342, [1]Configuracion!$A$2:$B$7, 2, FALSE) &amp; "-" &amp; UPPER(LEFT(C342, 3)) &amp; "-" &amp; D342, "")</f>
        <v/>
      </c>
      <c r="B342" s="3"/>
      <c r="C342" s="2"/>
      <c r="D342" s="2"/>
      <c r="E342" s="2"/>
      <c r="F342" s="2"/>
      <c r="G342" s="3"/>
      <c r="H342" s="4"/>
      <c r="I342" s="3"/>
    </row>
    <row r="343" spans="1:9" x14ac:dyDescent="0.35">
      <c r="A343" s="6" t="str">
        <f>IF(COUNTA(B343:D343)=3, VLOOKUP(B343, [1]Configuracion!$A$2:$B$7, 2, FALSE) &amp; "-" &amp; UPPER(LEFT(C343, 3)) &amp; "-" &amp; D343, "")</f>
        <v/>
      </c>
      <c r="B343" s="3"/>
      <c r="C343" s="2"/>
      <c r="D343" s="2"/>
      <c r="E343" s="2"/>
      <c r="F343" s="2"/>
      <c r="G343" s="3"/>
      <c r="H343" s="4"/>
      <c r="I343" s="3"/>
    </row>
    <row r="344" spans="1:9" x14ac:dyDescent="0.35">
      <c r="A344" s="6" t="str">
        <f>IF(COUNTA(B344:D344)=3, VLOOKUP(B344, [1]Configuracion!$A$2:$B$7, 2, FALSE) &amp; "-" &amp; UPPER(LEFT(C344, 3)) &amp; "-" &amp; D344, "")</f>
        <v/>
      </c>
      <c r="B344" s="3"/>
      <c r="C344" s="2"/>
      <c r="D344" s="2"/>
      <c r="E344" s="2"/>
      <c r="F344" s="2"/>
      <c r="G344" s="3"/>
      <c r="H344" s="4"/>
      <c r="I344" s="3"/>
    </row>
    <row r="345" spans="1:9" x14ac:dyDescent="0.35">
      <c r="A345" s="6" t="str">
        <f>IF(COUNTA(B345:D345)=3, VLOOKUP(B345, [1]Configuracion!$A$2:$B$7, 2, FALSE) &amp; "-" &amp; UPPER(LEFT(C345, 3)) &amp; "-" &amp; D345, "")</f>
        <v/>
      </c>
      <c r="B345" s="3"/>
      <c r="C345" s="2"/>
      <c r="D345" s="2"/>
      <c r="E345" s="2"/>
      <c r="F345" s="2"/>
      <c r="G345" s="3"/>
      <c r="H345" s="4"/>
      <c r="I345" s="3"/>
    </row>
    <row r="346" spans="1:9" x14ac:dyDescent="0.35">
      <c r="A346" s="6" t="str">
        <f>IF(COUNTA(B346:D346)=3, VLOOKUP(B346, [1]Configuracion!$A$2:$B$7, 2, FALSE) &amp; "-" &amp; UPPER(LEFT(C346, 3)) &amp; "-" &amp; D346, "")</f>
        <v/>
      </c>
      <c r="B346" s="3"/>
      <c r="C346" s="2"/>
      <c r="D346" s="2"/>
      <c r="E346" s="2"/>
      <c r="F346" s="2"/>
      <c r="G346" s="3"/>
      <c r="H346" s="4"/>
      <c r="I346" s="3"/>
    </row>
    <row r="347" spans="1:9" x14ac:dyDescent="0.35">
      <c r="A347" s="6" t="str">
        <f>IF(COUNTA(B347:D347)=3, VLOOKUP(B347, [1]Configuracion!$A$2:$B$7, 2, FALSE) &amp; "-" &amp; UPPER(LEFT(C347, 3)) &amp; "-" &amp; D347, "")</f>
        <v/>
      </c>
      <c r="B347" s="3"/>
      <c r="C347" s="2"/>
      <c r="D347" s="2"/>
      <c r="E347" s="2"/>
      <c r="F347" s="2"/>
      <c r="G347" s="3"/>
      <c r="H347" s="4"/>
      <c r="I347" s="3"/>
    </row>
    <row r="348" spans="1:9" x14ac:dyDescent="0.35">
      <c r="A348" s="6" t="str">
        <f>IF(COUNTA(B348:D348)=3, VLOOKUP(B348, [1]Configuracion!$A$2:$B$7, 2, FALSE) &amp; "-" &amp; UPPER(LEFT(C348, 3)) &amp; "-" &amp; D348, "")</f>
        <v/>
      </c>
      <c r="B348" s="3"/>
      <c r="C348" s="2"/>
      <c r="D348" s="2"/>
      <c r="E348" s="2"/>
      <c r="F348" s="2"/>
      <c r="G348" s="3"/>
      <c r="H348" s="4"/>
      <c r="I348" s="3"/>
    </row>
    <row r="349" spans="1:9" x14ac:dyDescent="0.35">
      <c r="A349" s="6" t="str">
        <f>IF(COUNTA(B349:D349)=3, VLOOKUP(B349, [1]Configuracion!$A$2:$B$7, 2, FALSE) &amp; "-" &amp; UPPER(LEFT(C349, 3)) &amp; "-" &amp; D349, "")</f>
        <v/>
      </c>
      <c r="B349" s="3"/>
      <c r="C349" s="2"/>
      <c r="D349" s="2"/>
      <c r="E349" s="2"/>
      <c r="F349" s="2"/>
      <c r="G349" s="3"/>
      <c r="H349" s="4"/>
      <c r="I349" s="3"/>
    </row>
    <row r="350" spans="1:9" x14ac:dyDescent="0.35">
      <c r="A350" s="6" t="str">
        <f>IF(COUNTA(B350:D350)=3, VLOOKUP(B350, [1]Configuracion!$A$2:$B$7, 2, FALSE) &amp; "-" &amp; UPPER(LEFT(C350, 3)) &amp; "-" &amp; D350, "")</f>
        <v/>
      </c>
      <c r="B350" s="3"/>
      <c r="C350" s="2"/>
      <c r="D350" s="2"/>
      <c r="E350" s="2"/>
      <c r="F350" s="2"/>
      <c r="G350" s="3"/>
      <c r="H350" s="4"/>
      <c r="I350" s="3"/>
    </row>
    <row r="351" spans="1:9" x14ac:dyDescent="0.35">
      <c r="A351" s="6" t="str">
        <f>IF(COUNTA(B351:D351)=3, VLOOKUP(B351, [1]Configuracion!$A$2:$B$7, 2, FALSE) &amp; "-" &amp; UPPER(LEFT(C351, 3)) &amp; "-" &amp; D351, "")</f>
        <v/>
      </c>
      <c r="B351" s="3"/>
      <c r="C351" s="2"/>
      <c r="D351" s="2"/>
      <c r="E351" s="2"/>
      <c r="F351" s="2"/>
      <c r="G351" s="3"/>
      <c r="H351" s="4"/>
      <c r="I351" s="3"/>
    </row>
    <row r="352" spans="1:9" x14ac:dyDescent="0.35">
      <c r="A352" s="6" t="str">
        <f>IF(COUNTA(B352:D352)=3, VLOOKUP(B352, [1]Configuracion!$A$2:$B$7, 2, FALSE) &amp; "-" &amp; UPPER(LEFT(C352, 3)) &amp; "-" &amp; D352, "")</f>
        <v/>
      </c>
      <c r="B352" s="3"/>
      <c r="C352" s="2"/>
      <c r="D352" s="2"/>
      <c r="E352" s="2"/>
      <c r="F352" s="2"/>
      <c r="G352" s="3"/>
      <c r="H352" s="4"/>
      <c r="I352" s="3"/>
    </row>
    <row r="353" spans="1:9" x14ac:dyDescent="0.35">
      <c r="A353" s="6" t="str">
        <f>IF(COUNTA(B353:D353)=3, VLOOKUP(B353, [1]Configuracion!$A$2:$B$7, 2, FALSE) &amp; "-" &amp; UPPER(LEFT(C353, 3)) &amp; "-" &amp; D353, "")</f>
        <v/>
      </c>
      <c r="B353" s="3"/>
      <c r="C353" s="2"/>
      <c r="D353" s="2"/>
      <c r="E353" s="2"/>
      <c r="F353" s="2"/>
      <c r="G353" s="3"/>
      <c r="H353" s="4"/>
      <c r="I353" s="3"/>
    </row>
    <row r="354" spans="1:9" x14ac:dyDescent="0.35">
      <c r="A354" s="6" t="str">
        <f>IF(COUNTA(B354:D354)=3, VLOOKUP(B354, [1]Configuracion!$A$2:$B$7, 2, FALSE) &amp; "-" &amp; UPPER(LEFT(C354, 3)) &amp; "-" &amp; D354, "")</f>
        <v/>
      </c>
      <c r="B354" s="3"/>
      <c r="C354" s="2"/>
      <c r="D354" s="2"/>
      <c r="E354" s="2"/>
      <c r="F354" s="2"/>
      <c r="G354" s="3"/>
      <c r="H354" s="4"/>
      <c r="I354" s="3"/>
    </row>
    <row r="355" spans="1:9" x14ac:dyDescent="0.35">
      <c r="A355" s="6" t="str">
        <f>IF(COUNTA(B355:D355)=3, VLOOKUP(B355, [1]Configuracion!$A$2:$B$7, 2, FALSE) &amp; "-" &amp; UPPER(LEFT(C355, 3)) &amp; "-" &amp; D355, "")</f>
        <v/>
      </c>
      <c r="B355" s="3"/>
      <c r="C355" s="2"/>
      <c r="D355" s="2"/>
      <c r="E355" s="2"/>
      <c r="F355" s="2"/>
      <c r="G355" s="3"/>
      <c r="H355" s="4"/>
      <c r="I355" s="3"/>
    </row>
    <row r="356" spans="1:9" x14ac:dyDescent="0.35">
      <c r="A356" s="6" t="str">
        <f>IF(COUNTA(B356:D356)=3, VLOOKUP(B356, [1]Configuracion!$A$2:$B$7, 2, FALSE) &amp; "-" &amp; UPPER(LEFT(C356, 3)) &amp; "-" &amp; D356, "")</f>
        <v/>
      </c>
      <c r="B356" s="3"/>
      <c r="C356" s="2"/>
      <c r="D356" s="2"/>
      <c r="E356" s="2"/>
      <c r="F356" s="2"/>
      <c r="G356" s="3"/>
      <c r="H356" s="4"/>
      <c r="I356" s="3"/>
    </row>
    <row r="357" spans="1:9" x14ac:dyDescent="0.35">
      <c r="A357" s="6" t="str">
        <f>IF(COUNTA(B357:D357)=3, VLOOKUP(B357, [1]Configuracion!$A$2:$B$7, 2, FALSE) &amp; "-" &amp; UPPER(LEFT(C357, 3)) &amp; "-" &amp; D357, "")</f>
        <v/>
      </c>
      <c r="B357" s="3"/>
      <c r="C357" s="2"/>
      <c r="D357" s="2"/>
      <c r="E357" s="2"/>
      <c r="F357" s="2"/>
      <c r="G357" s="3"/>
      <c r="H357" s="4"/>
      <c r="I357" s="3"/>
    </row>
    <row r="358" spans="1:9" x14ac:dyDescent="0.35">
      <c r="A358" s="6" t="str">
        <f>IF(COUNTA(B358:D358)=3, VLOOKUP(B358, [1]Configuracion!$A$2:$B$7, 2, FALSE) &amp; "-" &amp; UPPER(LEFT(C358, 3)) &amp; "-" &amp; D358, "")</f>
        <v/>
      </c>
      <c r="B358" s="3"/>
      <c r="C358" s="2"/>
      <c r="D358" s="2"/>
      <c r="E358" s="2"/>
      <c r="F358" s="2"/>
      <c r="G358" s="3"/>
      <c r="H358" s="4"/>
      <c r="I358" s="3"/>
    </row>
    <row r="359" spans="1:9" x14ac:dyDescent="0.35">
      <c r="A359" s="6" t="str">
        <f>IF(COUNTA(B359:D359)=3, VLOOKUP(B359, [1]Configuracion!$A$2:$B$7, 2, FALSE) &amp; "-" &amp; UPPER(LEFT(C359, 3)) &amp; "-" &amp; D359, "")</f>
        <v/>
      </c>
      <c r="B359" s="3"/>
      <c r="C359" s="2"/>
      <c r="D359" s="2"/>
      <c r="E359" s="2"/>
      <c r="F359" s="2"/>
      <c r="G359" s="3"/>
      <c r="H359" s="4"/>
      <c r="I359" s="3"/>
    </row>
    <row r="360" spans="1:9" x14ac:dyDescent="0.35">
      <c r="A360" s="6" t="str">
        <f>IF(COUNTA(B360:D360)=3, VLOOKUP(B360, [1]Configuracion!$A$2:$B$7, 2, FALSE) &amp; "-" &amp; UPPER(LEFT(C360, 3)) &amp; "-" &amp; D360, "")</f>
        <v/>
      </c>
      <c r="B360" s="3"/>
      <c r="C360" s="2"/>
      <c r="D360" s="2"/>
      <c r="E360" s="2"/>
      <c r="F360" s="2"/>
      <c r="G360" s="3"/>
      <c r="H360" s="4"/>
      <c r="I360" s="3"/>
    </row>
    <row r="361" spans="1:9" x14ac:dyDescent="0.35">
      <c r="A361" s="6" t="str">
        <f>IF(COUNTA(B361:D361)=3, VLOOKUP(B361, [1]Configuracion!$A$2:$B$7, 2, FALSE) &amp; "-" &amp; UPPER(LEFT(C361, 3)) &amp; "-" &amp; D361, "")</f>
        <v/>
      </c>
      <c r="B361" s="3"/>
      <c r="C361" s="2"/>
      <c r="D361" s="2"/>
      <c r="E361" s="2"/>
      <c r="F361" s="2"/>
      <c r="G361" s="3"/>
      <c r="H361" s="4"/>
      <c r="I361" s="3"/>
    </row>
    <row r="362" spans="1:9" x14ac:dyDescent="0.35">
      <c r="A362" s="6" t="str">
        <f>IF(COUNTA(B362:D362)=3, VLOOKUP(B362, [1]Configuracion!$A$2:$B$7, 2, FALSE) &amp; "-" &amp; UPPER(LEFT(C362, 3)) &amp; "-" &amp; D362, "")</f>
        <v/>
      </c>
      <c r="B362" s="3"/>
      <c r="C362" s="2"/>
      <c r="D362" s="2"/>
      <c r="E362" s="2"/>
      <c r="F362" s="2"/>
      <c r="G362" s="3"/>
      <c r="H362" s="4"/>
      <c r="I362" s="3"/>
    </row>
    <row r="363" spans="1:9" x14ac:dyDescent="0.35">
      <c r="A363" s="6" t="str">
        <f>IF(COUNTA(B363:D363)=3, VLOOKUP(B363, [1]Configuracion!$A$2:$B$7, 2, FALSE) &amp; "-" &amp; UPPER(LEFT(C363, 3)) &amp; "-" &amp; D363, "")</f>
        <v/>
      </c>
      <c r="B363" s="3"/>
      <c r="C363" s="2"/>
      <c r="D363" s="2"/>
      <c r="E363" s="2"/>
      <c r="F363" s="2"/>
      <c r="G363" s="3"/>
      <c r="H363" s="4"/>
      <c r="I363" s="3"/>
    </row>
    <row r="364" spans="1:9" x14ac:dyDescent="0.35">
      <c r="A364" s="6" t="str">
        <f>IF(COUNTA(B364:D364)=3, VLOOKUP(B364, [1]Configuracion!$A$2:$B$7, 2, FALSE) &amp; "-" &amp; UPPER(LEFT(C364, 3)) &amp; "-" &amp; D364, "")</f>
        <v/>
      </c>
      <c r="B364" s="3"/>
      <c r="C364" s="2"/>
      <c r="D364" s="2"/>
      <c r="E364" s="2"/>
      <c r="F364" s="2"/>
      <c r="G364" s="3"/>
      <c r="H364" s="4"/>
      <c r="I364" s="3"/>
    </row>
    <row r="365" spans="1:9" x14ac:dyDescent="0.35">
      <c r="A365" s="6" t="str">
        <f>IF(COUNTA(B365:D365)=3, VLOOKUP(B365, [1]Configuracion!$A$2:$B$7, 2, FALSE) &amp; "-" &amp; UPPER(LEFT(C365, 3)) &amp; "-" &amp; D365, "")</f>
        <v/>
      </c>
      <c r="B365" s="3"/>
      <c r="C365" s="2"/>
      <c r="D365" s="2"/>
      <c r="E365" s="2"/>
      <c r="F365" s="2"/>
      <c r="G365" s="3"/>
      <c r="H365" s="4"/>
      <c r="I365" s="3"/>
    </row>
    <row r="366" spans="1:9" x14ac:dyDescent="0.35">
      <c r="A366" s="6" t="str">
        <f>IF(COUNTA(B366:D366)=3, VLOOKUP(B366, [1]Configuracion!$A$2:$B$7, 2, FALSE) &amp; "-" &amp; UPPER(LEFT(C366, 3)) &amp; "-" &amp; D366, "")</f>
        <v/>
      </c>
      <c r="B366" s="3"/>
      <c r="C366" s="2"/>
      <c r="D366" s="2"/>
      <c r="E366" s="2"/>
      <c r="F366" s="2"/>
      <c r="G366" s="3"/>
      <c r="H366" s="4"/>
      <c r="I366" s="3"/>
    </row>
    <row r="367" spans="1:9" x14ac:dyDescent="0.35">
      <c r="A367" s="6" t="str">
        <f>IF(COUNTA(B367:D367)=3, VLOOKUP(B367, [1]Configuracion!$A$2:$B$7, 2, FALSE) &amp; "-" &amp; UPPER(LEFT(C367, 3)) &amp; "-" &amp; D367, "")</f>
        <v/>
      </c>
      <c r="B367" s="3"/>
      <c r="C367" s="2"/>
      <c r="D367" s="2"/>
      <c r="E367" s="2"/>
      <c r="F367" s="2"/>
      <c r="G367" s="3"/>
      <c r="H367" s="4"/>
      <c r="I367" s="3"/>
    </row>
    <row r="368" spans="1:9" x14ac:dyDescent="0.35">
      <c r="A368" s="6" t="str">
        <f>IF(COUNTA(B368:D368)=3, VLOOKUP(B368, [1]Configuracion!$A$2:$B$7, 2, FALSE) &amp; "-" &amp; UPPER(LEFT(C368, 3)) &amp; "-" &amp; D368, "")</f>
        <v/>
      </c>
      <c r="B368" s="3"/>
      <c r="C368" s="2"/>
      <c r="D368" s="2"/>
      <c r="E368" s="2"/>
      <c r="F368" s="2"/>
      <c r="G368" s="3"/>
      <c r="H368" s="4"/>
      <c r="I368" s="3"/>
    </row>
    <row r="369" spans="1:9" x14ac:dyDescent="0.35">
      <c r="A369" s="6" t="str">
        <f>IF(COUNTA(B369:D369)=3, VLOOKUP(B369, [1]Configuracion!$A$2:$B$7, 2, FALSE) &amp; "-" &amp; UPPER(LEFT(C369, 3)) &amp; "-" &amp; D369, "")</f>
        <v/>
      </c>
      <c r="B369" s="3"/>
      <c r="C369" s="2"/>
      <c r="D369" s="2"/>
      <c r="E369" s="2"/>
      <c r="F369" s="2"/>
      <c r="G369" s="3"/>
      <c r="H369" s="4"/>
      <c r="I369" s="3"/>
    </row>
    <row r="370" spans="1:9" x14ac:dyDescent="0.35">
      <c r="A370" s="6" t="str">
        <f>IF(COUNTA(B370:D370)=3, VLOOKUP(B370, [1]Configuracion!$A$2:$B$7, 2, FALSE) &amp; "-" &amp; UPPER(LEFT(C370, 3)) &amp; "-" &amp; D370, "")</f>
        <v/>
      </c>
      <c r="B370" s="3"/>
      <c r="C370" s="2"/>
      <c r="D370" s="2"/>
      <c r="E370" s="2"/>
      <c r="F370" s="2"/>
      <c r="G370" s="3"/>
      <c r="H370" s="4"/>
      <c r="I370" s="3"/>
    </row>
    <row r="371" spans="1:9" x14ac:dyDescent="0.35">
      <c r="A371" s="6" t="str">
        <f>IF(COUNTA(B371:D371)=3, VLOOKUP(B371, [1]Configuracion!$A$2:$B$7, 2, FALSE) &amp; "-" &amp; UPPER(LEFT(C371, 3)) &amp; "-" &amp; D371, "")</f>
        <v/>
      </c>
      <c r="B371" s="3"/>
      <c r="C371" s="2"/>
      <c r="D371" s="2"/>
      <c r="E371" s="2"/>
      <c r="F371" s="2"/>
      <c r="G371" s="3"/>
      <c r="H371" s="4"/>
      <c r="I371" s="3"/>
    </row>
    <row r="372" spans="1:9" x14ac:dyDescent="0.35">
      <c r="A372" s="6" t="str">
        <f>IF(COUNTA(B372:D372)=3, VLOOKUP(B372, [1]Configuracion!$A$2:$B$7, 2, FALSE) &amp; "-" &amp; UPPER(LEFT(C372, 3)) &amp; "-" &amp; D372, "")</f>
        <v/>
      </c>
      <c r="B372" s="3"/>
      <c r="C372" s="2"/>
      <c r="D372" s="2"/>
      <c r="E372" s="2"/>
      <c r="F372" s="2"/>
      <c r="G372" s="3"/>
      <c r="H372" s="4"/>
      <c r="I372" s="3"/>
    </row>
    <row r="373" spans="1:9" x14ac:dyDescent="0.35">
      <c r="A373" s="6" t="str">
        <f>IF(COUNTA(B373:D373)=3, VLOOKUP(B373, [1]Configuracion!$A$2:$B$7, 2, FALSE) &amp; "-" &amp; UPPER(LEFT(C373, 3)) &amp; "-" &amp; D373, "")</f>
        <v/>
      </c>
      <c r="B373" s="3"/>
      <c r="C373" s="2"/>
      <c r="D373" s="2"/>
      <c r="E373" s="2"/>
      <c r="F373" s="2"/>
      <c r="G373" s="3"/>
      <c r="H373" s="4"/>
      <c r="I373" s="3"/>
    </row>
    <row r="374" spans="1:9" x14ac:dyDescent="0.35">
      <c r="A374" s="6" t="str">
        <f>IF(COUNTA(B374:D374)=3, VLOOKUP(B374, [1]Configuracion!$A$2:$B$7, 2, FALSE) &amp; "-" &amp; UPPER(LEFT(C374, 3)) &amp; "-" &amp; D374, "")</f>
        <v/>
      </c>
      <c r="B374" s="3"/>
      <c r="C374" s="2"/>
      <c r="D374" s="2"/>
      <c r="E374" s="2"/>
      <c r="F374" s="2"/>
      <c r="G374" s="3"/>
      <c r="H374" s="4"/>
      <c r="I374" s="3"/>
    </row>
    <row r="375" spans="1:9" x14ac:dyDescent="0.35">
      <c r="A375" s="6" t="str">
        <f>IF(COUNTA(B375:D375)=3, VLOOKUP(B375, [1]Configuracion!$A$2:$B$7, 2, FALSE) &amp; "-" &amp; UPPER(LEFT(C375, 3)) &amp; "-" &amp; D375, "")</f>
        <v/>
      </c>
      <c r="B375" s="3"/>
      <c r="C375" s="2"/>
      <c r="D375" s="2"/>
      <c r="E375" s="2"/>
      <c r="F375" s="2"/>
      <c r="G375" s="3"/>
      <c r="H375" s="4"/>
      <c r="I375" s="3"/>
    </row>
    <row r="376" spans="1:9" x14ac:dyDescent="0.35">
      <c r="A376" s="6" t="str">
        <f>IF(COUNTA(B376:D376)=3, VLOOKUP(B376, [1]Configuracion!$A$2:$B$7, 2, FALSE) &amp; "-" &amp; UPPER(LEFT(C376, 3)) &amp; "-" &amp; D376, "")</f>
        <v/>
      </c>
      <c r="B376" s="3"/>
      <c r="C376" s="2"/>
      <c r="D376" s="2"/>
      <c r="E376" s="2"/>
      <c r="F376" s="2"/>
      <c r="G376" s="3"/>
      <c r="H376" s="4"/>
      <c r="I376" s="3"/>
    </row>
    <row r="377" spans="1:9" x14ac:dyDescent="0.35">
      <c r="A377" s="6" t="str">
        <f>IF(COUNTA(B377:D377)=3, VLOOKUP(B377, [1]Configuracion!$A$2:$B$7, 2, FALSE) &amp; "-" &amp; UPPER(LEFT(C377, 3)) &amp; "-" &amp; D377, "")</f>
        <v/>
      </c>
      <c r="B377" s="3"/>
      <c r="C377" s="2"/>
      <c r="D377" s="2"/>
      <c r="E377" s="2"/>
      <c r="F377" s="2"/>
      <c r="G377" s="3"/>
      <c r="H377" s="4"/>
      <c r="I377" s="3"/>
    </row>
    <row r="378" spans="1:9" x14ac:dyDescent="0.35">
      <c r="A378" s="6" t="str">
        <f>IF(COUNTA(B378:D378)=3, VLOOKUP(B378, [1]Configuracion!$A$2:$B$7, 2, FALSE) &amp; "-" &amp; UPPER(LEFT(C378, 3)) &amp; "-" &amp; D378, "")</f>
        <v/>
      </c>
      <c r="B378" s="3"/>
      <c r="C378" s="2"/>
      <c r="D378" s="2"/>
      <c r="E378" s="2"/>
      <c r="F378" s="2"/>
      <c r="G378" s="3"/>
      <c r="H378" s="4"/>
      <c r="I378" s="3"/>
    </row>
    <row r="379" spans="1:9" x14ac:dyDescent="0.35">
      <c r="A379" s="6" t="str">
        <f>IF(COUNTA(B379:D379)=3, VLOOKUP(B379, [1]Configuracion!$A$2:$B$7, 2, FALSE) &amp; "-" &amp; UPPER(LEFT(C379, 3)) &amp; "-" &amp; D379, "")</f>
        <v/>
      </c>
      <c r="B379" s="3"/>
      <c r="C379" s="2"/>
      <c r="D379" s="2"/>
      <c r="E379" s="2"/>
      <c r="F379" s="2"/>
      <c r="G379" s="3"/>
      <c r="H379" s="4"/>
      <c r="I379" s="3"/>
    </row>
    <row r="380" spans="1:9" x14ac:dyDescent="0.35">
      <c r="A380" s="6" t="str">
        <f>IF(COUNTA(B380:D380)=3, VLOOKUP(B380, [1]Configuracion!$A$2:$B$7, 2, FALSE) &amp; "-" &amp; UPPER(LEFT(C380, 3)) &amp; "-" &amp; D380, "")</f>
        <v/>
      </c>
      <c r="B380" s="3"/>
      <c r="C380" s="2"/>
      <c r="D380" s="2"/>
      <c r="E380" s="2"/>
      <c r="F380" s="2"/>
      <c r="G380" s="3"/>
      <c r="H380" s="4"/>
      <c r="I380" s="3"/>
    </row>
    <row r="381" spans="1:9" x14ac:dyDescent="0.35">
      <c r="A381" s="6" t="str">
        <f>IF(COUNTA(B381:D381)=3, VLOOKUP(B381, [1]Configuracion!$A$2:$B$7, 2, FALSE) &amp; "-" &amp; UPPER(LEFT(C381, 3)) &amp; "-" &amp; D381, "")</f>
        <v/>
      </c>
      <c r="B381" s="3"/>
      <c r="C381" s="2"/>
      <c r="D381" s="2"/>
      <c r="E381" s="2"/>
      <c r="F381" s="2"/>
      <c r="G381" s="3"/>
      <c r="H381" s="4"/>
      <c r="I381" s="3"/>
    </row>
    <row r="382" spans="1:9" x14ac:dyDescent="0.35">
      <c r="A382" s="6" t="str">
        <f>IF(COUNTA(B382:D382)=3, VLOOKUP(B382, [1]Configuracion!$A$2:$B$7, 2, FALSE) &amp; "-" &amp; UPPER(LEFT(C382, 3)) &amp; "-" &amp; D382, "")</f>
        <v/>
      </c>
      <c r="B382" s="3"/>
      <c r="C382" s="2"/>
      <c r="D382" s="2"/>
      <c r="E382" s="2"/>
      <c r="F382" s="2"/>
      <c r="G382" s="3"/>
      <c r="H382" s="4"/>
      <c r="I382" s="3"/>
    </row>
    <row r="383" spans="1:9" x14ac:dyDescent="0.35">
      <c r="A383" s="6" t="str">
        <f>IF(COUNTA(B383:D383)=3, VLOOKUP(B383, [1]Configuracion!$A$2:$B$7, 2, FALSE) &amp; "-" &amp; UPPER(LEFT(C383, 3)) &amp; "-" &amp; D383, "")</f>
        <v/>
      </c>
      <c r="B383" s="3"/>
      <c r="C383" s="2"/>
      <c r="D383" s="2"/>
      <c r="E383" s="2"/>
      <c r="F383" s="2"/>
      <c r="G383" s="3"/>
      <c r="H383" s="4"/>
      <c r="I383" s="3"/>
    </row>
    <row r="384" spans="1:9" x14ac:dyDescent="0.35">
      <c r="A384" s="6" t="str">
        <f>IF(COUNTA(B384:D384)=3, VLOOKUP(B384, [1]Configuracion!$A$2:$B$7, 2, FALSE) &amp; "-" &amp; UPPER(LEFT(C384, 3)) &amp; "-" &amp; D384, "")</f>
        <v/>
      </c>
      <c r="B384" s="3"/>
      <c r="C384" s="2"/>
      <c r="D384" s="2"/>
      <c r="E384" s="2"/>
      <c r="F384" s="2"/>
      <c r="G384" s="3"/>
      <c r="H384" s="4"/>
      <c r="I384" s="3"/>
    </row>
    <row r="385" spans="1:9" x14ac:dyDescent="0.35">
      <c r="A385" s="6" t="str">
        <f>IF(COUNTA(B385:D385)=3, VLOOKUP(B385, [1]Configuracion!$A$2:$B$7, 2, FALSE) &amp; "-" &amp; UPPER(LEFT(C385, 3)) &amp; "-" &amp; D385, "")</f>
        <v/>
      </c>
      <c r="B385" s="3"/>
      <c r="C385" s="2"/>
      <c r="D385" s="2"/>
      <c r="E385" s="2"/>
      <c r="F385" s="2"/>
      <c r="G385" s="3"/>
      <c r="H385" s="4"/>
      <c r="I385" s="3"/>
    </row>
    <row r="386" spans="1:9" x14ac:dyDescent="0.35">
      <c r="A386" s="6" t="str">
        <f>IF(COUNTA(B386:D386)=3, VLOOKUP(B386, [1]Configuracion!$A$2:$B$7, 2, FALSE) &amp; "-" &amp; UPPER(LEFT(C386, 3)) &amp; "-" &amp; D386, "")</f>
        <v/>
      </c>
      <c r="B386" s="3"/>
      <c r="C386" s="2"/>
      <c r="D386" s="2"/>
      <c r="E386" s="2"/>
      <c r="F386" s="2"/>
      <c r="G386" s="3"/>
      <c r="H386" s="4"/>
      <c r="I386" s="3"/>
    </row>
    <row r="387" spans="1:9" x14ac:dyDescent="0.35">
      <c r="A387" s="6" t="str">
        <f>IF(COUNTA(B387:D387)=3, VLOOKUP(B387, [1]Configuracion!$A$2:$B$7, 2, FALSE) &amp; "-" &amp; UPPER(LEFT(C387, 3)) &amp; "-" &amp; D387, "")</f>
        <v/>
      </c>
      <c r="B387" s="3"/>
      <c r="C387" s="2"/>
      <c r="D387" s="2"/>
      <c r="E387" s="2"/>
      <c r="F387" s="2"/>
      <c r="G387" s="3"/>
      <c r="H387" s="4"/>
      <c r="I387" s="3"/>
    </row>
    <row r="388" spans="1:9" x14ac:dyDescent="0.35">
      <c r="A388" s="6" t="str">
        <f>IF(COUNTA(B388:D388)=3, VLOOKUP(B388, [1]Configuracion!$A$2:$B$7, 2, FALSE) &amp; "-" &amp; UPPER(LEFT(C388, 3)) &amp; "-" &amp; D388, "")</f>
        <v/>
      </c>
      <c r="B388" s="3"/>
      <c r="C388" s="2"/>
      <c r="D388" s="2"/>
      <c r="E388" s="2"/>
      <c r="F388" s="2"/>
      <c r="G388" s="3"/>
      <c r="H388" s="4"/>
      <c r="I388" s="3"/>
    </row>
    <row r="389" spans="1:9" x14ac:dyDescent="0.35">
      <c r="A389" s="6" t="str">
        <f>IF(COUNTA(B389:D389)=3, VLOOKUP(B389, [1]Configuracion!$A$2:$B$7, 2, FALSE) &amp; "-" &amp; UPPER(LEFT(C389, 3)) &amp; "-" &amp; D389, "")</f>
        <v/>
      </c>
      <c r="B389" s="3"/>
      <c r="C389" s="2"/>
      <c r="D389" s="2"/>
      <c r="E389" s="2"/>
      <c r="F389" s="2"/>
      <c r="G389" s="3"/>
      <c r="H389" s="4"/>
      <c r="I389" s="3"/>
    </row>
    <row r="390" spans="1:9" x14ac:dyDescent="0.35">
      <c r="A390" s="6" t="str">
        <f>IF(COUNTA(B390:D390)=3, VLOOKUP(B390, [1]Configuracion!$A$2:$B$7, 2, FALSE) &amp; "-" &amp; UPPER(LEFT(C390, 3)) &amp; "-" &amp; D390, "")</f>
        <v/>
      </c>
      <c r="B390" s="3"/>
      <c r="C390" s="2"/>
      <c r="D390" s="2"/>
      <c r="E390" s="2"/>
      <c r="F390" s="2"/>
      <c r="G390" s="3"/>
      <c r="H390" s="4"/>
      <c r="I390" s="3"/>
    </row>
    <row r="391" spans="1:9" x14ac:dyDescent="0.35">
      <c r="A391" s="6" t="str">
        <f>IF(COUNTA(B391:D391)=3, VLOOKUP(B391, [1]Configuracion!$A$2:$B$7, 2, FALSE) &amp; "-" &amp; UPPER(LEFT(C391, 3)) &amp; "-" &amp; D391, "")</f>
        <v/>
      </c>
      <c r="B391" s="3"/>
      <c r="C391" s="2"/>
      <c r="D391" s="2"/>
      <c r="E391" s="2"/>
      <c r="F391" s="2"/>
      <c r="G391" s="3"/>
      <c r="H391" s="4"/>
      <c r="I391" s="3"/>
    </row>
    <row r="392" spans="1:9" x14ac:dyDescent="0.35">
      <c r="A392" s="6" t="str">
        <f>IF(COUNTA(B392:D392)=3, VLOOKUP(B392, [1]Configuracion!$A$2:$B$7, 2, FALSE) &amp; "-" &amp; UPPER(LEFT(C392, 3)) &amp; "-" &amp; D392, "")</f>
        <v/>
      </c>
      <c r="B392" s="3"/>
      <c r="C392" s="2"/>
      <c r="D392" s="2"/>
      <c r="E392" s="2"/>
      <c r="F392" s="2"/>
      <c r="G392" s="3"/>
      <c r="H392" s="4"/>
      <c r="I392" s="3"/>
    </row>
    <row r="393" spans="1:9" x14ac:dyDescent="0.35">
      <c r="A393" s="6" t="str">
        <f>IF(COUNTA(B393:D393)=3, VLOOKUP(B393, [1]Configuracion!$A$2:$B$7, 2, FALSE) &amp; "-" &amp; UPPER(LEFT(C393, 3)) &amp; "-" &amp; D393, "")</f>
        <v/>
      </c>
      <c r="B393" s="3"/>
      <c r="C393" s="2"/>
      <c r="D393" s="2"/>
      <c r="E393" s="2"/>
      <c r="F393" s="2"/>
      <c r="G393" s="3"/>
      <c r="H393" s="4"/>
      <c r="I393" s="3"/>
    </row>
    <row r="394" spans="1:9" x14ac:dyDescent="0.35">
      <c r="A394" s="6" t="str">
        <f>IF(COUNTA(B394:D394)=3, VLOOKUP(B394, [1]Configuracion!$A$2:$B$7, 2, FALSE) &amp; "-" &amp; UPPER(LEFT(C394, 3)) &amp; "-" &amp; D394, "")</f>
        <v/>
      </c>
      <c r="B394" s="3"/>
      <c r="C394" s="2"/>
      <c r="D394" s="2"/>
      <c r="E394" s="2"/>
      <c r="F394" s="2"/>
      <c r="G394" s="3"/>
      <c r="H394" s="4"/>
      <c r="I394" s="3"/>
    </row>
    <row r="395" spans="1:9" x14ac:dyDescent="0.35">
      <c r="A395" s="6" t="str">
        <f>IF(COUNTA(B395:D395)=3, VLOOKUP(B395, [1]Configuracion!$A$2:$B$7, 2, FALSE) &amp; "-" &amp; UPPER(LEFT(C395, 3)) &amp; "-" &amp; D395, "")</f>
        <v/>
      </c>
      <c r="B395" s="3"/>
      <c r="C395" s="2"/>
      <c r="D395" s="2"/>
      <c r="E395" s="2"/>
      <c r="F395" s="2"/>
      <c r="G395" s="3"/>
      <c r="H395" s="4"/>
      <c r="I395" s="3"/>
    </row>
    <row r="396" spans="1:9" x14ac:dyDescent="0.35">
      <c r="A396" s="6" t="str">
        <f>IF(COUNTA(B396:D396)=3, VLOOKUP(B396, [1]Configuracion!$A$2:$B$7, 2, FALSE) &amp; "-" &amp; UPPER(LEFT(C396, 3)) &amp; "-" &amp; D396, "")</f>
        <v/>
      </c>
      <c r="B396" s="3"/>
      <c r="C396" s="2"/>
      <c r="D396" s="2"/>
      <c r="E396" s="2"/>
      <c r="F396" s="2"/>
      <c r="G396" s="3"/>
      <c r="H396" s="4"/>
      <c r="I396" s="3"/>
    </row>
    <row r="397" spans="1:9" x14ac:dyDescent="0.35">
      <c r="A397" s="6" t="str">
        <f>IF(COUNTA(B397:D397)=3, VLOOKUP(B397, [1]Configuracion!$A$2:$B$7, 2, FALSE) &amp; "-" &amp; UPPER(LEFT(C397, 3)) &amp; "-" &amp; D397, "")</f>
        <v/>
      </c>
      <c r="B397" s="3"/>
      <c r="C397" s="2"/>
      <c r="D397" s="2"/>
      <c r="E397" s="2"/>
      <c r="F397" s="2"/>
      <c r="G397" s="3"/>
      <c r="H397" s="4"/>
      <c r="I397" s="3"/>
    </row>
    <row r="398" spans="1:9" x14ac:dyDescent="0.35">
      <c r="A398" s="6" t="str">
        <f>IF(COUNTA(B398:D398)=3, VLOOKUP(B398, [1]Configuracion!$A$2:$B$7, 2, FALSE) &amp; "-" &amp; UPPER(LEFT(C398, 3)) &amp; "-" &amp; D398, "")</f>
        <v/>
      </c>
      <c r="B398" s="3"/>
      <c r="C398" s="2"/>
      <c r="D398" s="2"/>
      <c r="E398" s="2"/>
      <c r="F398" s="2"/>
      <c r="G398" s="3"/>
      <c r="H398" s="4"/>
      <c r="I398" s="3"/>
    </row>
    <row r="399" spans="1:9" x14ac:dyDescent="0.35">
      <c r="A399" s="6" t="str">
        <f>IF(COUNTA(B399:D399)=3, VLOOKUP(B399, [1]Configuracion!$A$2:$B$7, 2, FALSE) &amp; "-" &amp; UPPER(LEFT(C399, 3)) &amp; "-" &amp; D399, "")</f>
        <v/>
      </c>
      <c r="B399" s="3"/>
      <c r="C399" s="2"/>
      <c r="D399" s="2"/>
      <c r="E399" s="2"/>
      <c r="F399" s="2"/>
      <c r="G399" s="3"/>
      <c r="H399" s="4"/>
      <c r="I399" s="3"/>
    </row>
    <row r="400" spans="1:9" x14ac:dyDescent="0.35">
      <c r="A400" s="6" t="str">
        <f>IF(COUNTA(B400:D400)=3, VLOOKUP(B400, [1]Configuracion!$A$2:$B$7, 2, FALSE) &amp; "-" &amp; UPPER(LEFT(C400, 3)) &amp; "-" &amp; D400, "")</f>
        <v/>
      </c>
      <c r="B400" s="3"/>
      <c r="C400" s="2"/>
      <c r="D400" s="2"/>
      <c r="E400" s="2"/>
      <c r="F400" s="2"/>
      <c r="G400" s="3"/>
      <c r="H400" s="4"/>
      <c r="I400" s="3"/>
    </row>
    <row r="401" spans="1:9" x14ac:dyDescent="0.35">
      <c r="A401" s="6" t="str">
        <f>IF(COUNTA(B401:D401)=3, VLOOKUP(B401, [1]Configuracion!$A$2:$B$7, 2, FALSE) &amp; "-" &amp; UPPER(LEFT(C401, 3)) &amp; "-" &amp; D401, "")</f>
        <v/>
      </c>
      <c r="B401" s="3"/>
      <c r="C401" s="2"/>
      <c r="D401" s="2"/>
      <c r="E401" s="2"/>
      <c r="F401" s="2"/>
      <c r="G401" s="3"/>
      <c r="H401" s="4"/>
      <c r="I401" s="3"/>
    </row>
    <row r="402" spans="1:9" x14ac:dyDescent="0.35">
      <c r="A402" s="6" t="str">
        <f>IF(COUNTA(B402:D402)=3, VLOOKUP(B402, [1]Configuracion!$A$2:$B$7, 2, FALSE) &amp; "-" &amp; UPPER(LEFT(C402, 3)) &amp; "-" &amp; D402, "")</f>
        <v/>
      </c>
      <c r="B402" s="3"/>
      <c r="C402" s="2"/>
      <c r="D402" s="2"/>
      <c r="E402" s="2"/>
      <c r="F402" s="2"/>
      <c r="G402" s="3"/>
      <c r="H402" s="4"/>
      <c r="I402" s="3"/>
    </row>
    <row r="403" spans="1:9" x14ac:dyDescent="0.35">
      <c r="A403" s="6" t="str">
        <f>IF(COUNTA(B403:D403)=3, VLOOKUP(B403, [1]Configuracion!$A$2:$B$7, 2, FALSE) &amp; "-" &amp; UPPER(LEFT(C403, 3)) &amp; "-" &amp; D403, "")</f>
        <v/>
      </c>
      <c r="B403" s="3"/>
      <c r="C403" s="2"/>
      <c r="D403" s="2"/>
      <c r="E403" s="2"/>
      <c r="F403" s="2"/>
      <c r="G403" s="3"/>
      <c r="H403" s="4"/>
      <c r="I403" s="3"/>
    </row>
    <row r="404" spans="1:9" x14ac:dyDescent="0.35">
      <c r="A404" s="6" t="str">
        <f>IF(COUNTA(B404:D404)=3, VLOOKUP(B404, [1]Configuracion!$A$2:$B$7, 2, FALSE) &amp; "-" &amp; UPPER(LEFT(C404, 3)) &amp; "-" &amp; D404, "")</f>
        <v/>
      </c>
      <c r="B404" s="3"/>
      <c r="C404" s="2"/>
      <c r="D404" s="2"/>
      <c r="E404" s="2"/>
      <c r="F404" s="2"/>
      <c r="G404" s="3"/>
      <c r="H404" s="4"/>
      <c r="I404" s="3"/>
    </row>
    <row r="405" spans="1:9" x14ac:dyDescent="0.35">
      <c r="A405" s="6" t="str">
        <f>IF(COUNTA(B405:D405)=3, VLOOKUP(B405, [1]Configuracion!$A$2:$B$7, 2, FALSE) &amp; "-" &amp; UPPER(LEFT(C405, 3)) &amp; "-" &amp; D405, "")</f>
        <v/>
      </c>
      <c r="B405" s="3"/>
      <c r="C405" s="2"/>
      <c r="D405" s="2"/>
      <c r="E405" s="2"/>
      <c r="F405" s="2"/>
      <c r="G405" s="3"/>
      <c r="H405" s="4"/>
      <c r="I405" s="3"/>
    </row>
    <row r="406" spans="1:9" x14ac:dyDescent="0.35">
      <c r="A406" s="6" t="str">
        <f>IF(COUNTA(B406:D406)=3, VLOOKUP(B406, [1]Configuracion!$A$2:$B$7, 2, FALSE) &amp; "-" &amp; UPPER(LEFT(C406, 3)) &amp; "-" &amp; D406, "")</f>
        <v/>
      </c>
      <c r="B406" s="3"/>
      <c r="C406" s="2"/>
      <c r="D406" s="2"/>
      <c r="E406" s="2"/>
      <c r="F406" s="2"/>
      <c r="G406" s="3"/>
      <c r="H406" s="4"/>
      <c r="I406" s="3"/>
    </row>
    <row r="407" spans="1:9" x14ac:dyDescent="0.35">
      <c r="A407" s="6" t="str">
        <f>IF(COUNTA(B407:D407)=3, VLOOKUP(B407, [1]Configuracion!$A$2:$B$7, 2, FALSE) &amp; "-" &amp; UPPER(LEFT(C407, 3)) &amp; "-" &amp; D407, "")</f>
        <v/>
      </c>
      <c r="B407" s="3"/>
      <c r="C407" s="2"/>
      <c r="D407" s="2"/>
      <c r="E407" s="2"/>
      <c r="F407" s="2"/>
      <c r="G407" s="3"/>
      <c r="H407" s="4"/>
      <c r="I407" s="3"/>
    </row>
    <row r="408" spans="1:9" x14ac:dyDescent="0.35">
      <c r="A408" s="6" t="str">
        <f>IF(COUNTA(B408:D408)=3, VLOOKUP(B408, [1]Configuracion!$A$2:$B$7, 2, FALSE) &amp; "-" &amp; UPPER(LEFT(C408, 3)) &amp; "-" &amp; D408, "")</f>
        <v/>
      </c>
      <c r="B408" s="3"/>
      <c r="C408" s="2"/>
      <c r="D408" s="2"/>
      <c r="E408" s="2"/>
      <c r="F408" s="2"/>
      <c r="G408" s="3"/>
      <c r="H408" s="4"/>
      <c r="I408" s="3"/>
    </row>
    <row r="409" spans="1:9" x14ac:dyDescent="0.35">
      <c r="A409" s="6" t="str">
        <f>IF(COUNTA(B409:D409)=3, VLOOKUP(B409, [1]Configuracion!$A$2:$B$7, 2, FALSE) &amp; "-" &amp; UPPER(LEFT(C409, 3)) &amp; "-" &amp; D409, "")</f>
        <v/>
      </c>
      <c r="B409" s="3"/>
      <c r="C409" s="2"/>
      <c r="D409" s="2"/>
      <c r="E409" s="2"/>
      <c r="F409" s="2"/>
      <c r="G409" s="3"/>
      <c r="H409" s="4"/>
      <c r="I409" s="3"/>
    </row>
    <row r="410" spans="1:9" x14ac:dyDescent="0.35">
      <c r="A410" s="6" t="str">
        <f>IF(COUNTA(B410:D410)=3, VLOOKUP(B410, [1]Configuracion!$A$2:$B$7, 2, FALSE) &amp; "-" &amp; UPPER(LEFT(C410, 3)) &amp; "-" &amp; D410, "")</f>
        <v/>
      </c>
      <c r="B410" s="3"/>
      <c r="C410" s="2"/>
      <c r="D410" s="2"/>
      <c r="E410" s="2"/>
      <c r="F410" s="2"/>
      <c r="G410" s="3"/>
      <c r="H410" s="4"/>
      <c r="I410" s="3"/>
    </row>
    <row r="411" spans="1:9" x14ac:dyDescent="0.35">
      <c r="A411" s="6" t="str">
        <f>IF(COUNTA(B411:D411)=3, VLOOKUP(B411, [1]Configuracion!$A$2:$B$7, 2, FALSE) &amp; "-" &amp; UPPER(LEFT(C411, 3)) &amp; "-" &amp; D411, "")</f>
        <v/>
      </c>
      <c r="B411" s="3"/>
      <c r="C411" s="2"/>
      <c r="D411" s="2"/>
      <c r="E411" s="2"/>
      <c r="F411" s="2"/>
      <c r="G411" s="3"/>
      <c r="H411" s="4"/>
      <c r="I411" s="3"/>
    </row>
    <row r="412" spans="1:9" x14ac:dyDescent="0.35">
      <c r="A412" s="6" t="str">
        <f>IF(COUNTA(B412:D412)=3, VLOOKUP(B412, [1]Configuracion!$A$2:$B$7, 2, FALSE) &amp; "-" &amp; UPPER(LEFT(C412, 3)) &amp; "-" &amp; D412, "")</f>
        <v/>
      </c>
      <c r="B412" s="3"/>
      <c r="C412" s="2"/>
      <c r="D412" s="2"/>
      <c r="E412" s="2"/>
      <c r="F412" s="2"/>
      <c r="G412" s="3"/>
      <c r="H412" s="4"/>
      <c r="I412" s="3"/>
    </row>
    <row r="413" spans="1:9" x14ac:dyDescent="0.35">
      <c r="A413" s="6" t="str">
        <f>IF(COUNTA(B413:D413)=3, VLOOKUP(B413, [1]Configuracion!$A$2:$B$7, 2, FALSE) &amp; "-" &amp; UPPER(LEFT(C413, 3)) &amp; "-" &amp; D413, "")</f>
        <v/>
      </c>
      <c r="B413" s="3"/>
      <c r="C413" s="2"/>
      <c r="D413" s="2"/>
      <c r="E413" s="2"/>
      <c r="F413" s="2"/>
      <c r="G413" s="3"/>
      <c r="H413" s="4"/>
      <c r="I413" s="3"/>
    </row>
    <row r="414" spans="1:9" x14ac:dyDescent="0.35">
      <c r="A414" s="6" t="str">
        <f>IF(COUNTA(B414:D414)=3, VLOOKUP(B414, [1]Configuracion!$A$2:$B$7, 2, FALSE) &amp; "-" &amp; UPPER(LEFT(C414, 3)) &amp; "-" &amp; D414, "")</f>
        <v/>
      </c>
      <c r="B414" s="3"/>
      <c r="C414" s="2"/>
      <c r="D414" s="2"/>
      <c r="E414" s="2"/>
      <c r="F414" s="2"/>
      <c r="G414" s="3"/>
      <c r="H414" s="4"/>
      <c r="I414" s="3"/>
    </row>
    <row r="415" spans="1:9" x14ac:dyDescent="0.35">
      <c r="A415" s="6" t="str">
        <f>IF(COUNTA(B415:D415)=3, VLOOKUP(B415, [1]Configuracion!$A$2:$B$7, 2, FALSE) &amp; "-" &amp; UPPER(LEFT(C415, 3)) &amp; "-" &amp; D415, "")</f>
        <v/>
      </c>
      <c r="B415" s="3"/>
      <c r="C415" s="2"/>
      <c r="D415" s="2"/>
      <c r="E415" s="2"/>
      <c r="F415" s="2"/>
      <c r="G415" s="3"/>
      <c r="H415" s="4"/>
      <c r="I415" s="3"/>
    </row>
    <row r="416" spans="1:9" x14ac:dyDescent="0.35">
      <c r="A416" s="6" t="str">
        <f>IF(COUNTA(B416:D416)=3, VLOOKUP(B416, [1]Configuracion!$A$2:$B$7, 2, FALSE) &amp; "-" &amp; UPPER(LEFT(C416, 3)) &amp; "-" &amp; D416, "")</f>
        <v/>
      </c>
      <c r="B416" s="3"/>
      <c r="C416" s="2"/>
      <c r="D416" s="2"/>
      <c r="E416" s="2"/>
      <c r="F416" s="2"/>
      <c r="G416" s="3"/>
      <c r="H416" s="4"/>
      <c r="I416" s="3"/>
    </row>
    <row r="417" spans="1:9" x14ac:dyDescent="0.35">
      <c r="A417" s="6" t="str">
        <f>IF(COUNTA(B417:D417)=3, VLOOKUP(B417, [1]Configuracion!$A$2:$B$7, 2, FALSE) &amp; "-" &amp; UPPER(LEFT(C417, 3)) &amp; "-" &amp; D417, "")</f>
        <v/>
      </c>
      <c r="B417" s="3"/>
      <c r="C417" s="2"/>
      <c r="D417" s="2"/>
      <c r="E417" s="2"/>
      <c r="F417" s="2"/>
      <c r="G417" s="3"/>
      <c r="H417" s="4"/>
      <c r="I417" s="3"/>
    </row>
    <row r="418" spans="1:9" x14ac:dyDescent="0.35">
      <c r="A418" s="6" t="str">
        <f>IF(COUNTA(B418:D418)=3, VLOOKUP(B418, [1]Configuracion!$A$2:$B$7, 2, FALSE) &amp; "-" &amp; UPPER(LEFT(C418, 3)) &amp; "-" &amp; D418, "")</f>
        <v/>
      </c>
      <c r="B418" s="3"/>
      <c r="C418" s="2"/>
      <c r="D418" s="2"/>
      <c r="E418" s="2"/>
      <c r="F418" s="2"/>
      <c r="G418" s="3"/>
      <c r="H418" s="4"/>
      <c r="I418" s="3"/>
    </row>
    <row r="419" spans="1:9" x14ac:dyDescent="0.35">
      <c r="A419" s="6" t="str">
        <f>IF(COUNTA(B419:D419)=3, VLOOKUP(B419, [1]Configuracion!$A$2:$B$7, 2, FALSE) &amp; "-" &amp; UPPER(LEFT(C419, 3)) &amp; "-" &amp; D419, "")</f>
        <v/>
      </c>
      <c r="B419" s="3"/>
      <c r="C419" s="2"/>
      <c r="D419" s="2"/>
      <c r="E419" s="2"/>
      <c r="F419" s="2"/>
      <c r="G419" s="3"/>
      <c r="H419" s="4"/>
      <c r="I419" s="3"/>
    </row>
    <row r="420" spans="1:9" x14ac:dyDescent="0.35">
      <c r="A420" s="6" t="str">
        <f>IF(COUNTA(B420:D420)=3, VLOOKUP(B420, [1]Configuracion!$A$2:$B$7, 2, FALSE) &amp; "-" &amp; UPPER(LEFT(C420, 3)) &amp; "-" &amp; D420, "")</f>
        <v/>
      </c>
      <c r="B420" s="3"/>
      <c r="C420" s="2"/>
      <c r="D420" s="2"/>
      <c r="E420" s="2"/>
      <c r="F420" s="2"/>
      <c r="G420" s="3"/>
      <c r="H420" s="4"/>
      <c r="I420" s="3"/>
    </row>
    <row r="421" spans="1:9" x14ac:dyDescent="0.35">
      <c r="A421" s="6" t="str">
        <f>IF(COUNTA(B421:D421)=3, VLOOKUP(B421, [1]Configuracion!$A$2:$B$7, 2, FALSE) &amp; "-" &amp; UPPER(LEFT(C421, 3)) &amp; "-" &amp; D421, "")</f>
        <v/>
      </c>
      <c r="B421" s="3"/>
      <c r="C421" s="2"/>
      <c r="D421" s="2"/>
      <c r="E421" s="2"/>
      <c r="F421" s="2"/>
      <c r="G421" s="3"/>
      <c r="H421" s="4"/>
      <c r="I421" s="3"/>
    </row>
    <row r="422" spans="1:9" x14ac:dyDescent="0.35">
      <c r="A422" s="6" t="str">
        <f>IF(COUNTA(B422:D422)=3, VLOOKUP(B422, [1]Configuracion!$A$2:$B$7, 2, FALSE) &amp; "-" &amp; UPPER(LEFT(C422, 3)) &amp; "-" &amp; D422, "")</f>
        <v/>
      </c>
      <c r="B422" s="3"/>
      <c r="C422" s="2"/>
      <c r="D422" s="2"/>
      <c r="E422" s="2"/>
      <c r="F422" s="2"/>
      <c r="G422" s="3"/>
      <c r="H422" s="4"/>
      <c r="I422" s="3"/>
    </row>
    <row r="423" spans="1:9" x14ac:dyDescent="0.35">
      <c r="A423" s="6" t="str">
        <f>IF(COUNTA(B423:D423)=3, VLOOKUP(B423, [1]Configuracion!$A$2:$B$7, 2, FALSE) &amp; "-" &amp; UPPER(LEFT(C423, 3)) &amp; "-" &amp; D423, "")</f>
        <v/>
      </c>
      <c r="B423" s="3"/>
      <c r="C423" s="2"/>
      <c r="D423" s="2"/>
      <c r="E423" s="2"/>
      <c r="F423" s="2"/>
      <c r="G423" s="3"/>
      <c r="H423" s="4"/>
      <c r="I423" s="3"/>
    </row>
    <row r="424" spans="1:9" x14ac:dyDescent="0.35">
      <c r="A424" s="6" t="str">
        <f>IF(COUNTA(B424:D424)=3, VLOOKUP(B424, [1]Configuracion!$A$2:$B$7, 2, FALSE) &amp; "-" &amp; UPPER(LEFT(C424, 3)) &amp; "-" &amp; D424, "")</f>
        <v/>
      </c>
      <c r="B424" s="3"/>
      <c r="C424" s="2"/>
      <c r="D424" s="2"/>
      <c r="E424" s="2"/>
      <c r="F424" s="2"/>
      <c r="G424" s="3"/>
      <c r="H424" s="4"/>
      <c r="I424" s="3"/>
    </row>
    <row r="425" spans="1:9" x14ac:dyDescent="0.35">
      <c r="A425" s="6" t="str">
        <f>IF(COUNTA(B425:D425)=3, VLOOKUP(B425, [1]Configuracion!$A$2:$B$7, 2, FALSE) &amp; "-" &amp; UPPER(LEFT(C425, 3)) &amp; "-" &amp; D425, "")</f>
        <v/>
      </c>
      <c r="B425" s="3"/>
      <c r="C425" s="2"/>
      <c r="D425" s="2"/>
      <c r="E425" s="2"/>
      <c r="F425" s="2"/>
      <c r="G425" s="3"/>
      <c r="H425" s="4"/>
      <c r="I425" s="3"/>
    </row>
    <row r="426" spans="1:9" x14ac:dyDescent="0.35">
      <c r="A426" s="6" t="str">
        <f>IF(COUNTA(B426:D426)=3, VLOOKUP(B426, [1]Configuracion!$A$2:$B$7, 2, FALSE) &amp; "-" &amp; UPPER(LEFT(C426, 3)) &amp; "-" &amp; D426, "")</f>
        <v/>
      </c>
      <c r="B426" s="3"/>
      <c r="C426" s="2"/>
      <c r="D426" s="2"/>
      <c r="E426" s="2"/>
      <c r="F426" s="2"/>
      <c r="G426" s="3"/>
      <c r="H426" s="4"/>
      <c r="I426" s="3"/>
    </row>
    <row r="427" spans="1:9" x14ac:dyDescent="0.35">
      <c r="A427" s="6" t="str">
        <f>IF(COUNTA(B427:D427)=3, VLOOKUP(B427, [1]Configuracion!$A$2:$B$7, 2, FALSE) &amp; "-" &amp; UPPER(LEFT(C427, 3)) &amp; "-" &amp; D427, "")</f>
        <v/>
      </c>
      <c r="B427" s="3"/>
      <c r="C427" s="2"/>
      <c r="D427" s="2"/>
      <c r="E427" s="2"/>
      <c r="F427" s="2"/>
      <c r="G427" s="3"/>
      <c r="H427" s="4"/>
      <c r="I427" s="3"/>
    </row>
    <row r="428" spans="1:9" x14ac:dyDescent="0.35">
      <c r="A428" s="6" t="str">
        <f>IF(COUNTA(B428:D428)=3, VLOOKUP(B428, [1]Configuracion!$A$2:$B$7, 2, FALSE) &amp; "-" &amp; UPPER(LEFT(C428, 3)) &amp; "-" &amp; D428, "")</f>
        <v/>
      </c>
      <c r="B428" s="3"/>
      <c r="C428" s="2"/>
      <c r="D428" s="2"/>
      <c r="E428" s="2"/>
      <c r="F428" s="2"/>
      <c r="G428" s="3"/>
      <c r="H428" s="4"/>
      <c r="I428" s="3"/>
    </row>
    <row r="429" spans="1:9" x14ac:dyDescent="0.35">
      <c r="A429" s="6" t="str">
        <f>IF(COUNTA(B429:D429)=3, VLOOKUP(B429, [1]Configuracion!$A$2:$B$7, 2, FALSE) &amp; "-" &amp; UPPER(LEFT(C429, 3)) &amp; "-" &amp; D429, "")</f>
        <v/>
      </c>
      <c r="B429" s="3"/>
      <c r="C429" s="2"/>
      <c r="D429" s="2"/>
      <c r="E429" s="2"/>
      <c r="F429" s="2"/>
      <c r="G429" s="3"/>
      <c r="H429" s="4"/>
      <c r="I429" s="3"/>
    </row>
    <row r="430" spans="1:9" x14ac:dyDescent="0.35">
      <c r="A430" s="6" t="str">
        <f>IF(COUNTA(B430:D430)=3, VLOOKUP(B430, [1]Configuracion!$A$2:$B$7, 2, FALSE) &amp; "-" &amp; UPPER(LEFT(C430, 3)) &amp; "-" &amp; D430, "")</f>
        <v/>
      </c>
      <c r="B430" s="3"/>
      <c r="C430" s="2"/>
      <c r="D430" s="2"/>
      <c r="E430" s="2"/>
      <c r="F430" s="2"/>
      <c r="G430" s="3"/>
      <c r="H430" s="4"/>
      <c r="I430" s="3"/>
    </row>
    <row r="431" spans="1:9" x14ac:dyDescent="0.35">
      <c r="A431" s="6" t="str">
        <f>IF(COUNTA(B431:D431)=3, VLOOKUP(B431, [1]Configuracion!$A$2:$B$7, 2, FALSE) &amp; "-" &amp; UPPER(LEFT(C431, 3)) &amp; "-" &amp; D431, "")</f>
        <v/>
      </c>
      <c r="B431" s="3"/>
      <c r="C431" s="2"/>
      <c r="D431" s="2"/>
      <c r="E431" s="2"/>
      <c r="F431" s="2"/>
      <c r="G431" s="3"/>
      <c r="H431" s="4"/>
      <c r="I431" s="3"/>
    </row>
    <row r="432" spans="1:9" x14ac:dyDescent="0.35">
      <c r="A432" s="6" t="str">
        <f>IF(COUNTA(B432:D432)=3, VLOOKUP(B432, [1]Configuracion!$A$2:$B$7, 2, FALSE) &amp; "-" &amp; UPPER(LEFT(C432, 3)) &amp; "-" &amp; D432, "")</f>
        <v/>
      </c>
      <c r="B432" s="3"/>
      <c r="C432" s="2"/>
      <c r="D432" s="2"/>
      <c r="E432" s="2"/>
      <c r="F432" s="2"/>
      <c r="G432" s="3"/>
      <c r="H432" s="4"/>
      <c r="I432" s="3"/>
    </row>
    <row r="433" spans="1:9" x14ac:dyDescent="0.35">
      <c r="A433" s="6" t="str">
        <f>IF(COUNTA(B433:D433)=3, VLOOKUP(B433, [1]Configuracion!$A$2:$B$7, 2, FALSE) &amp; "-" &amp; UPPER(LEFT(C433, 3)) &amp; "-" &amp; D433, "")</f>
        <v/>
      </c>
      <c r="B433" s="3"/>
      <c r="C433" s="2"/>
      <c r="D433" s="2"/>
      <c r="E433" s="2"/>
      <c r="F433" s="2"/>
      <c r="G433" s="3"/>
      <c r="H433" s="4"/>
      <c r="I433" s="3"/>
    </row>
    <row r="434" spans="1:9" x14ac:dyDescent="0.35">
      <c r="A434" s="6" t="str">
        <f>IF(COUNTA(B434:D434)=3, VLOOKUP(B434, [1]Configuracion!$A$2:$B$7, 2, FALSE) &amp; "-" &amp; UPPER(LEFT(C434, 3)) &amp; "-" &amp; D434, "")</f>
        <v/>
      </c>
      <c r="B434" s="3"/>
      <c r="C434" s="2"/>
      <c r="D434" s="2"/>
      <c r="E434" s="2"/>
      <c r="F434" s="2"/>
      <c r="G434" s="3"/>
      <c r="H434" s="4"/>
      <c r="I434" s="3"/>
    </row>
    <row r="435" spans="1:9" x14ac:dyDescent="0.35">
      <c r="A435" s="6" t="str">
        <f>IF(COUNTA(B435:D435)=3, VLOOKUP(B435, [1]Configuracion!$A$2:$B$7, 2, FALSE) &amp; "-" &amp; UPPER(LEFT(C435, 3)) &amp; "-" &amp; D435, "")</f>
        <v/>
      </c>
      <c r="B435" s="3"/>
      <c r="C435" s="2"/>
      <c r="D435" s="2"/>
      <c r="E435" s="2"/>
      <c r="F435" s="2"/>
      <c r="G435" s="3"/>
      <c r="H435" s="4"/>
      <c r="I435" s="3"/>
    </row>
    <row r="436" spans="1:9" x14ac:dyDescent="0.35">
      <c r="A436" s="6" t="str">
        <f>IF(COUNTA(B436:D436)=3, VLOOKUP(B436, [1]Configuracion!$A$2:$B$7, 2, FALSE) &amp; "-" &amp; UPPER(LEFT(C436, 3)) &amp; "-" &amp; D436, "")</f>
        <v/>
      </c>
      <c r="B436" s="3"/>
      <c r="C436" s="2"/>
      <c r="D436" s="2"/>
      <c r="E436" s="2"/>
      <c r="F436" s="2"/>
      <c r="G436" s="3"/>
      <c r="H436" s="4"/>
      <c r="I436" s="3"/>
    </row>
    <row r="437" spans="1:9" x14ac:dyDescent="0.35">
      <c r="A437" s="6" t="str">
        <f>IF(COUNTA(B437:D437)=3, VLOOKUP(B437, [1]Configuracion!$A$2:$B$7, 2, FALSE) &amp; "-" &amp; UPPER(LEFT(C437, 3)) &amp; "-" &amp; D437, "")</f>
        <v/>
      </c>
      <c r="B437" s="3"/>
      <c r="C437" s="2"/>
      <c r="D437" s="2"/>
      <c r="E437" s="2"/>
      <c r="F437" s="2"/>
      <c r="G437" s="3"/>
      <c r="H437" s="4"/>
      <c r="I437" s="3"/>
    </row>
    <row r="438" spans="1:9" x14ac:dyDescent="0.35">
      <c r="A438" s="6" t="str">
        <f>IF(COUNTA(B438:D438)=3, VLOOKUP(B438, [1]Configuracion!$A$2:$B$7, 2, FALSE) &amp; "-" &amp; UPPER(LEFT(C438, 3)) &amp; "-" &amp; D438, "")</f>
        <v/>
      </c>
      <c r="B438" s="3"/>
      <c r="C438" s="2"/>
      <c r="D438" s="2"/>
      <c r="E438" s="2"/>
      <c r="F438" s="2"/>
      <c r="G438" s="3"/>
      <c r="H438" s="4"/>
      <c r="I438" s="3"/>
    </row>
    <row r="439" spans="1:9" x14ac:dyDescent="0.35">
      <c r="A439" s="6" t="str">
        <f>IF(COUNTA(B439:D439)=3, VLOOKUP(B439, [1]Configuracion!$A$2:$B$7, 2, FALSE) &amp; "-" &amp; UPPER(LEFT(C439, 3)) &amp; "-" &amp; D439, "")</f>
        <v/>
      </c>
      <c r="B439" s="3"/>
      <c r="C439" s="2"/>
      <c r="D439" s="2"/>
      <c r="E439" s="2"/>
      <c r="F439" s="2"/>
      <c r="G439" s="3"/>
      <c r="H439" s="4"/>
      <c r="I439" s="3"/>
    </row>
    <row r="440" spans="1:9" x14ac:dyDescent="0.35">
      <c r="A440" s="6" t="str">
        <f>IF(COUNTA(B440:D440)=3, VLOOKUP(B440, [1]Configuracion!$A$2:$B$7, 2, FALSE) &amp; "-" &amp; UPPER(LEFT(C440, 3)) &amp; "-" &amp; D440, "")</f>
        <v/>
      </c>
      <c r="B440" s="3"/>
      <c r="C440" s="2"/>
      <c r="D440" s="2"/>
      <c r="E440" s="2"/>
      <c r="F440" s="2"/>
      <c r="G440" s="3"/>
      <c r="H440" s="4"/>
      <c r="I440" s="3"/>
    </row>
    <row r="441" spans="1:9" x14ac:dyDescent="0.35">
      <c r="A441" s="6" t="str">
        <f>IF(COUNTA(B441:D441)=3, VLOOKUP(B441, [1]Configuracion!$A$2:$B$7, 2, FALSE) &amp; "-" &amp; UPPER(LEFT(C441, 3)) &amp; "-" &amp; D441, "")</f>
        <v/>
      </c>
      <c r="B441" s="3"/>
      <c r="C441" s="2"/>
      <c r="D441" s="2"/>
      <c r="E441" s="2"/>
      <c r="F441" s="2"/>
      <c r="G441" s="3"/>
      <c r="H441" s="4"/>
      <c r="I441" s="3"/>
    </row>
    <row r="442" spans="1:9" x14ac:dyDescent="0.35">
      <c r="A442" s="6" t="str">
        <f>IF(COUNTA(B442:D442)=3, VLOOKUP(B442, [1]Configuracion!$A$2:$B$7, 2, FALSE) &amp; "-" &amp; UPPER(LEFT(C442, 3)) &amp; "-" &amp; D442, "")</f>
        <v/>
      </c>
      <c r="B442" s="3"/>
      <c r="C442" s="2"/>
      <c r="D442" s="2"/>
      <c r="E442" s="2"/>
      <c r="F442" s="2"/>
      <c r="G442" s="3"/>
      <c r="H442" s="4"/>
      <c r="I442" s="3"/>
    </row>
    <row r="443" spans="1:9" x14ac:dyDescent="0.35">
      <c r="A443" s="6" t="str">
        <f>IF(COUNTA(B443:D443)=3, VLOOKUP(B443, [1]Configuracion!$A$2:$B$7, 2, FALSE) &amp; "-" &amp; UPPER(LEFT(C443, 3)) &amp; "-" &amp; D443, "")</f>
        <v/>
      </c>
      <c r="B443" s="3"/>
      <c r="C443" s="2"/>
      <c r="D443" s="2"/>
      <c r="E443" s="2"/>
      <c r="F443" s="2"/>
      <c r="G443" s="3"/>
      <c r="H443" s="4"/>
      <c r="I443" s="3"/>
    </row>
    <row r="444" spans="1:9" x14ac:dyDescent="0.35">
      <c r="A444" s="6" t="str">
        <f>IF(COUNTA(B444:D444)=3, VLOOKUP(B444, [1]Configuracion!$A$2:$B$7, 2, FALSE) &amp; "-" &amp; UPPER(LEFT(C444, 3)) &amp; "-" &amp; D444, "")</f>
        <v/>
      </c>
      <c r="B444" s="3"/>
      <c r="C444" s="2"/>
      <c r="D444" s="2"/>
      <c r="E444" s="2"/>
      <c r="F444" s="2"/>
      <c r="G444" s="3"/>
      <c r="H444" s="4"/>
      <c r="I444" s="3"/>
    </row>
    <row r="445" spans="1:9" x14ac:dyDescent="0.35">
      <c r="A445" s="6" t="str">
        <f>IF(COUNTA(B445:D445)=3, VLOOKUP(B445, [1]Configuracion!$A$2:$B$7, 2, FALSE) &amp; "-" &amp; UPPER(LEFT(C445, 3)) &amp; "-" &amp; D445, "")</f>
        <v/>
      </c>
      <c r="B445" s="3"/>
      <c r="C445" s="2"/>
      <c r="D445" s="2"/>
      <c r="E445" s="2"/>
      <c r="F445" s="2"/>
      <c r="G445" s="3"/>
      <c r="H445" s="4"/>
      <c r="I445" s="3"/>
    </row>
    <row r="446" spans="1:9" x14ac:dyDescent="0.35">
      <c r="A446" s="6" t="str">
        <f>IF(COUNTA(B446:D446)=3, VLOOKUP(B446, [1]Configuracion!$A$2:$B$7, 2, FALSE) &amp; "-" &amp; UPPER(LEFT(C446, 3)) &amp; "-" &amp; D446, "")</f>
        <v/>
      </c>
      <c r="B446" s="3"/>
      <c r="C446" s="2"/>
      <c r="D446" s="2"/>
      <c r="E446" s="2"/>
      <c r="F446" s="2"/>
      <c r="G446" s="3"/>
      <c r="H446" s="4"/>
      <c r="I446" s="3"/>
    </row>
    <row r="447" spans="1:9" x14ac:dyDescent="0.35">
      <c r="A447" s="6" t="str">
        <f>IF(COUNTA(B447:D447)=3, VLOOKUP(B447, [1]Configuracion!$A$2:$B$7, 2, FALSE) &amp; "-" &amp; UPPER(LEFT(C447, 3)) &amp; "-" &amp; D447, "")</f>
        <v/>
      </c>
      <c r="B447" s="3"/>
      <c r="C447" s="2"/>
      <c r="D447" s="2"/>
      <c r="E447" s="2"/>
      <c r="F447" s="2"/>
      <c r="G447" s="3"/>
      <c r="H447" s="4"/>
      <c r="I447" s="3"/>
    </row>
    <row r="448" spans="1:9" x14ac:dyDescent="0.35">
      <c r="A448" s="6" t="str">
        <f>IF(COUNTA(B448:D448)=3, VLOOKUP(B448, [1]Configuracion!$A$2:$B$7, 2, FALSE) &amp; "-" &amp; UPPER(LEFT(C448, 3)) &amp; "-" &amp; D448, "")</f>
        <v/>
      </c>
      <c r="B448" s="3"/>
      <c r="C448" s="2"/>
      <c r="D448" s="2"/>
      <c r="E448" s="2"/>
      <c r="F448" s="2"/>
      <c r="G448" s="3"/>
      <c r="H448" s="4"/>
      <c r="I448" s="3"/>
    </row>
    <row r="449" spans="1:9" x14ac:dyDescent="0.35">
      <c r="A449" s="6" t="str">
        <f>IF(COUNTA(B449:D449)=3, VLOOKUP(B449, [1]Configuracion!$A$2:$B$7, 2, FALSE) &amp; "-" &amp; UPPER(LEFT(C449, 3)) &amp; "-" &amp; D449, "")</f>
        <v/>
      </c>
      <c r="B449" s="3"/>
      <c r="C449" s="2"/>
      <c r="D449" s="2"/>
      <c r="E449" s="2"/>
      <c r="F449" s="2"/>
      <c r="G449" s="3"/>
      <c r="H449" s="4"/>
      <c r="I449" s="3"/>
    </row>
    <row r="450" spans="1:9" x14ac:dyDescent="0.35">
      <c r="A450" s="6" t="str">
        <f>IF(COUNTA(B450:D450)=3, VLOOKUP(B450, [1]Configuracion!$A$2:$B$7, 2, FALSE) &amp; "-" &amp; UPPER(LEFT(C450, 3)) &amp; "-" &amp; D450, "")</f>
        <v/>
      </c>
      <c r="B450" s="3"/>
      <c r="C450" s="2"/>
      <c r="D450" s="2"/>
      <c r="E450" s="2"/>
      <c r="F450" s="2"/>
      <c r="G450" s="3"/>
      <c r="H450" s="4"/>
      <c r="I450" s="3"/>
    </row>
    <row r="451" spans="1:9" x14ac:dyDescent="0.35">
      <c r="A451" s="6" t="str">
        <f>IF(COUNTA(B451:D451)=3, VLOOKUP(B451, [1]Configuracion!$A$2:$B$7, 2, FALSE) &amp; "-" &amp; UPPER(LEFT(C451, 3)) &amp; "-" &amp; D451, "")</f>
        <v/>
      </c>
      <c r="B451" s="3"/>
      <c r="C451" s="2"/>
      <c r="D451" s="2"/>
      <c r="E451" s="2"/>
      <c r="F451" s="2"/>
      <c r="G451" s="3"/>
      <c r="H451" s="4"/>
      <c r="I451" s="3"/>
    </row>
    <row r="452" spans="1:9" x14ac:dyDescent="0.35">
      <c r="A452" s="6" t="str">
        <f>IF(COUNTA(B452:D452)=3, VLOOKUP(B452, [1]Configuracion!$A$2:$B$7, 2, FALSE) &amp; "-" &amp; UPPER(LEFT(C452, 3)) &amp; "-" &amp; D452, "")</f>
        <v/>
      </c>
      <c r="B452" s="3"/>
      <c r="C452" s="2"/>
      <c r="D452" s="2"/>
      <c r="E452" s="2"/>
      <c r="F452" s="2"/>
      <c r="G452" s="3"/>
      <c r="H452" s="4"/>
      <c r="I452" s="3"/>
    </row>
    <row r="453" spans="1:9" x14ac:dyDescent="0.35">
      <c r="A453" s="6" t="str">
        <f>IF(COUNTA(B453:D453)=3, VLOOKUP(B453, [1]Configuracion!$A$2:$B$7, 2, FALSE) &amp; "-" &amp; UPPER(LEFT(C453, 3)) &amp; "-" &amp; D453, "")</f>
        <v/>
      </c>
      <c r="B453" s="3"/>
      <c r="C453" s="2"/>
      <c r="D453" s="2"/>
      <c r="E453" s="2"/>
      <c r="F453" s="2"/>
      <c r="G453" s="3"/>
      <c r="H453" s="4"/>
      <c r="I453" s="3"/>
    </row>
    <row r="454" spans="1:9" x14ac:dyDescent="0.35">
      <c r="A454" s="6" t="str">
        <f>IF(COUNTA(B454:D454)=3, VLOOKUP(B454, [1]Configuracion!$A$2:$B$7, 2, FALSE) &amp; "-" &amp; UPPER(LEFT(C454, 3)) &amp; "-" &amp; D454, "")</f>
        <v/>
      </c>
      <c r="B454" s="3"/>
      <c r="C454" s="2"/>
      <c r="D454" s="2"/>
      <c r="E454" s="2"/>
      <c r="F454" s="2"/>
      <c r="G454" s="3"/>
      <c r="H454" s="4"/>
      <c r="I454" s="3"/>
    </row>
    <row r="455" spans="1:9" x14ac:dyDescent="0.35">
      <c r="A455" s="6" t="str">
        <f>IF(COUNTA(B455:D455)=3, VLOOKUP(B455, [1]Configuracion!$A$2:$B$7, 2, FALSE) &amp; "-" &amp; UPPER(LEFT(C455, 3)) &amp; "-" &amp; D455, "")</f>
        <v/>
      </c>
      <c r="B455" s="3"/>
      <c r="C455" s="2"/>
      <c r="D455" s="2"/>
      <c r="E455" s="2"/>
      <c r="F455" s="2"/>
      <c r="G455" s="3"/>
      <c r="H455" s="4"/>
      <c r="I455" s="3"/>
    </row>
    <row r="456" spans="1:9" x14ac:dyDescent="0.35">
      <c r="A456" s="6" t="str">
        <f>IF(COUNTA(B456:D456)=3, VLOOKUP(B456, [1]Configuracion!$A$2:$B$7, 2, FALSE) &amp; "-" &amp; UPPER(LEFT(C456, 3)) &amp; "-" &amp; D456, "")</f>
        <v/>
      </c>
      <c r="B456" s="3"/>
      <c r="C456" s="2"/>
      <c r="D456" s="2"/>
      <c r="E456" s="2"/>
      <c r="F456" s="2"/>
      <c r="G456" s="3"/>
      <c r="H456" s="4"/>
      <c r="I456" s="3"/>
    </row>
    <row r="457" spans="1:9" x14ac:dyDescent="0.35">
      <c r="A457" s="6" t="str">
        <f>IF(COUNTA(B457:D457)=3, VLOOKUP(B457, [1]Configuracion!$A$2:$B$7, 2, FALSE) &amp; "-" &amp; UPPER(LEFT(C457, 3)) &amp; "-" &amp; D457, "")</f>
        <v/>
      </c>
      <c r="B457" s="3"/>
      <c r="C457" s="2"/>
      <c r="D457" s="2"/>
      <c r="E457" s="2"/>
      <c r="F457" s="2"/>
      <c r="G457" s="3"/>
      <c r="H457" s="4"/>
      <c r="I457" s="3"/>
    </row>
    <row r="458" spans="1:9" x14ac:dyDescent="0.35">
      <c r="A458" s="6" t="str">
        <f>IF(COUNTA(B458:D458)=3, VLOOKUP(B458, [1]Configuracion!$A$2:$B$7, 2, FALSE) &amp; "-" &amp; UPPER(LEFT(C458, 3)) &amp; "-" &amp; D458, "")</f>
        <v/>
      </c>
      <c r="B458" s="3"/>
      <c r="C458" s="2"/>
      <c r="D458" s="2"/>
      <c r="E458" s="2"/>
      <c r="F458" s="2"/>
      <c r="G458" s="3"/>
      <c r="H458" s="4"/>
      <c r="I458" s="3"/>
    </row>
    <row r="459" spans="1:9" x14ac:dyDescent="0.35">
      <c r="A459" s="6" t="str">
        <f>IF(COUNTA(B459:D459)=3, VLOOKUP(B459, [1]Configuracion!$A$2:$B$7, 2, FALSE) &amp; "-" &amp; UPPER(LEFT(C459, 3)) &amp; "-" &amp; D459, "")</f>
        <v/>
      </c>
      <c r="B459" s="3"/>
      <c r="C459" s="2"/>
      <c r="D459" s="2"/>
      <c r="E459" s="2"/>
      <c r="F459" s="2"/>
      <c r="G459" s="3"/>
      <c r="H459" s="4"/>
      <c r="I459" s="3"/>
    </row>
    <row r="460" spans="1:9" x14ac:dyDescent="0.35">
      <c r="A460" s="6" t="str">
        <f>IF(COUNTA(B460:D460)=3, VLOOKUP(B460, [1]Configuracion!$A$2:$B$7, 2, FALSE) &amp; "-" &amp; UPPER(LEFT(C460, 3)) &amp; "-" &amp; D460, "")</f>
        <v/>
      </c>
      <c r="B460" s="3"/>
      <c r="C460" s="2"/>
      <c r="D460" s="2"/>
      <c r="E460" s="2"/>
      <c r="F460" s="2"/>
      <c r="G460" s="3"/>
      <c r="H460" s="4"/>
      <c r="I460" s="3"/>
    </row>
    <row r="461" spans="1:9" x14ac:dyDescent="0.35">
      <c r="A461" s="6" t="str">
        <f>IF(COUNTA(B461:D461)=3, VLOOKUP(B461, [1]Configuracion!$A$2:$B$7, 2, FALSE) &amp; "-" &amp; UPPER(LEFT(C461, 3)) &amp; "-" &amp; D461, "")</f>
        <v/>
      </c>
      <c r="B461" s="3"/>
      <c r="C461" s="2"/>
      <c r="D461" s="2"/>
      <c r="E461" s="2"/>
      <c r="F461" s="2"/>
      <c r="G461" s="3"/>
      <c r="H461" s="4"/>
      <c r="I461" s="3"/>
    </row>
    <row r="462" spans="1:9" x14ac:dyDescent="0.35">
      <c r="A462" s="6" t="str">
        <f>IF(COUNTA(B462:D462)=3, VLOOKUP(B462, [1]Configuracion!$A$2:$B$7, 2, FALSE) &amp; "-" &amp; UPPER(LEFT(C462, 3)) &amp; "-" &amp; D462, "")</f>
        <v/>
      </c>
      <c r="B462" s="3"/>
      <c r="C462" s="2"/>
      <c r="D462" s="2"/>
      <c r="E462" s="2"/>
      <c r="F462" s="2"/>
      <c r="G462" s="3"/>
      <c r="H462" s="4"/>
      <c r="I462" s="3"/>
    </row>
    <row r="463" spans="1:9" x14ac:dyDescent="0.35">
      <c r="A463" s="6" t="str">
        <f>IF(COUNTA(B463:D463)=3, VLOOKUP(B463, [1]Configuracion!$A$2:$B$7, 2, FALSE) &amp; "-" &amp; UPPER(LEFT(C463, 3)) &amp; "-" &amp; D463, "")</f>
        <v/>
      </c>
      <c r="B463" s="3"/>
      <c r="C463" s="2"/>
      <c r="D463" s="2"/>
      <c r="E463" s="2"/>
      <c r="F463" s="2"/>
      <c r="G463" s="3"/>
      <c r="H463" s="4"/>
      <c r="I463" s="3"/>
    </row>
    <row r="464" spans="1:9" x14ac:dyDescent="0.35">
      <c r="A464" s="6" t="str">
        <f>IF(COUNTA(B464:D464)=3, VLOOKUP(B464, [1]Configuracion!$A$2:$B$7, 2, FALSE) &amp; "-" &amp; UPPER(LEFT(C464, 3)) &amp; "-" &amp; D464, "")</f>
        <v/>
      </c>
      <c r="B464" s="3"/>
      <c r="C464" s="2"/>
      <c r="D464" s="2"/>
      <c r="E464" s="2"/>
      <c r="F464" s="2"/>
      <c r="G464" s="3"/>
      <c r="H464" s="4"/>
      <c r="I464" s="3"/>
    </row>
    <row r="465" spans="1:9" x14ac:dyDescent="0.35">
      <c r="A465" s="6" t="str">
        <f>IF(COUNTA(B465:D465)=3, VLOOKUP(B465, [1]Configuracion!$A$2:$B$7, 2, FALSE) &amp; "-" &amp; UPPER(LEFT(C465, 3)) &amp; "-" &amp; D465, "")</f>
        <v/>
      </c>
      <c r="B465" s="3"/>
      <c r="C465" s="2"/>
      <c r="D465" s="2"/>
      <c r="E465" s="2"/>
      <c r="F465" s="2"/>
      <c r="G465" s="3"/>
      <c r="H465" s="4"/>
      <c r="I465" s="3"/>
    </row>
    <row r="466" spans="1:9" x14ac:dyDescent="0.35">
      <c r="A466" s="6" t="str">
        <f>IF(COUNTA(B466:D466)=3, VLOOKUP(B466, [1]Configuracion!$A$2:$B$7, 2, FALSE) &amp; "-" &amp; UPPER(LEFT(C466, 3)) &amp; "-" &amp; D466, "")</f>
        <v/>
      </c>
      <c r="B466" s="3"/>
      <c r="C466" s="2"/>
      <c r="D466" s="2"/>
      <c r="E466" s="2"/>
      <c r="F466" s="2"/>
      <c r="G466" s="3"/>
      <c r="H466" s="4"/>
      <c r="I466" s="3"/>
    </row>
    <row r="467" spans="1:9" x14ac:dyDescent="0.35">
      <c r="A467" s="6" t="str">
        <f>IF(COUNTA(B467:D467)=3, VLOOKUP(B467, [1]Configuracion!$A$2:$B$7, 2, FALSE) &amp; "-" &amp; UPPER(LEFT(C467, 3)) &amp; "-" &amp; D467, "")</f>
        <v/>
      </c>
      <c r="B467" s="3"/>
      <c r="C467" s="2"/>
      <c r="D467" s="2"/>
      <c r="E467" s="2"/>
      <c r="F467" s="2"/>
      <c r="G467" s="3"/>
      <c r="H467" s="4"/>
      <c r="I467" s="3"/>
    </row>
    <row r="468" spans="1:9" x14ac:dyDescent="0.35">
      <c r="A468" s="6" t="str">
        <f>IF(COUNTA(B468:D468)=3, VLOOKUP(B468, [1]Configuracion!$A$2:$B$7, 2, FALSE) &amp; "-" &amp; UPPER(LEFT(C468, 3)) &amp; "-" &amp; D468, "")</f>
        <v/>
      </c>
      <c r="B468" s="3"/>
      <c r="C468" s="2"/>
      <c r="D468" s="2"/>
      <c r="E468" s="2"/>
      <c r="F468" s="2"/>
      <c r="G468" s="3"/>
      <c r="H468" s="4"/>
      <c r="I468" s="3"/>
    </row>
    <row r="469" spans="1:9" x14ac:dyDescent="0.35">
      <c r="A469" s="6" t="str">
        <f>IF(COUNTA(B469:D469)=3, VLOOKUP(B469, [1]Configuracion!$A$2:$B$7, 2, FALSE) &amp; "-" &amp; UPPER(LEFT(C469, 3)) &amp; "-" &amp; D469, "")</f>
        <v/>
      </c>
      <c r="B469" s="3"/>
      <c r="C469" s="2"/>
      <c r="D469" s="2"/>
      <c r="E469" s="2"/>
      <c r="F469" s="2"/>
      <c r="G469" s="3"/>
      <c r="H469" s="4"/>
      <c r="I469" s="3"/>
    </row>
    <row r="470" spans="1:9" x14ac:dyDescent="0.35">
      <c r="A470" s="6" t="str">
        <f>IF(COUNTA(B470:D470)=3, VLOOKUP(B470, [1]Configuracion!$A$2:$B$7, 2, FALSE) &amp; "-" &amp; UPPER(LEFT(C470, 3)) &amp; "-" &amp; D470, "")</f>
        <v/>
      </c>
      <c r="B470" s="3"/>
      <c r="C470" s="2"/>
      <c r="D470" s="2"/>
      <c r="E470" s="2"/>
      <c r="F470" s="2"/>
      <c r="G470" s="3"/>
      <c r="H470" s="4"/>
      <c r="I470" s="3"/>
    </row>
    <row r="471" spans="1:9" x14ac:dyDescent="0.35">
      <c r="A471" s="6" t="str">
        <f>IF(COUNTA(B471:D471)=3, VLOOKUP(B471, [1]Configuracion!$A$2:$B$7, 2, FALSE) &amp; "-" &amp; UPPER(LEFT(C471, 3)) &amp; "-" &amp; D471, "")</f>
        <v/>
      </c>
      <c r="B471" s="3"/>
      <c r="C471" s="2"/>
      <c r="D471" s="2"/>
      <c r="E471" s="2"/>
      <c r="F471" s="2"/>
      <c r="G471" s="3"/>
      <c r="H471" s="4"/>
      <c r="I471" s="3"/>
    </row>
    <row r="472" spans="1:9" x14ac:dyDescent="0.35">
      <c r="A472" s="6" t="str">
        <f>IF(COUNTA(B472:D472)=3, VLOOKUP(B472, [1]Configuracion!$A$2:$B$7, 2, FALSE) &amp; "-" &amp; UPPER(LEFT(C472, 3)) &amp; "-" &amp; D472, "")</f>
        <v/>
      </c>
      <c r="B472" s="3"/>
      <c r="C472" s="2"/>
      <c r="D472" s="2"/>
      <c r="E472" s="2"/>
      <c r="F472" s="2"/>
      <c r="G472" s="3"/>
      <c r="H472" s="4"/>
      <c r="I472" s="3"/>
    </row>
    <row r="473" spans="1:9" x14ac:dyDescent="0.35">
      <c r="A473" s="6" t="str">
        <f>IF(COUNTA(B473:D473)=3, VLOOKUP(B473, [1]Configuracion!$A$2:$B$7, 2, FALSE) &amp; "-" &amp; UPPER(LEFT(C473, 3)) &amp; "-" &amp; D473, "")</f>
        <v/>
      </c>
      <c r="B473" s="3"/>
      <c r="C473" s="2"/>
      <c r="D473" s="2"/>
      <c r="E473" s="2"/>
      <c r="F473" s="2"/>
      <c r="G473" s="3"/>
      <c r="H473" s="4"/>
      <c r="I473" s="3"/>
    </row>
    <row r="474" spans="1:9" x14ac:dyDescent="0.35">
      <c r="A474" s="6" t="str">
        <f>IF(COUNTA(B474:D474)=3, VLOOKUP(B474, [1]Configuracion!$A$2:$B$7, 2, FALSE) &amp; "-" &amp; UPPER(LEFT(C474, 3)) &amp; "-" &amp; D474, "")</f>
        <v/>
      </c>
      <c r="B474" s="3"/>
      <c r="C474" s="2"/>
      <c r="D474" s="2"/>
      <c r="E474" s="2"/>
      <c r="F474" s="2"/>
      <c r="G474" s="3"/>
      <c r="H474" s="4"/>
      <c r="I474" s="3"/>
    </row>
    <row r="475" spans="1:9" x14ac:dyDescent="0.35">
      <c r="A475" s="6" t="str">
        <f>IF(COUNTA(B475:D475)=3, VLOOKUP(B475, [1]Configuracion!$A$2:$B$7, 2, FALSE) &amp; "-" &amp; UPPER(LEFT(C475, 3)) &amp; "-" &amp; D475, "")</f>
        <v/>
      </c>
      <c r="B475" s="3"/>
      <c r="C475" s="2"/>
      <c r="D475" s="2"/>
      <c r="E475" s="2"/>
      <c r="F475" s="2"/>
      <c r="G475" s="3"/>
      <c r="H475" s="4"/>
      <c r="I475" s="3"/>
    </row>
    <row r="476" spans="1:9" x14ac:dyDescent="0.35">
      <c r="A476" s="6" t="str">
        <f>IF(COUNTA(B476:D476)=3, VLOOKUP(B476, [1]Configuracion!$A$2:$B$7, 2, FALSE) &amp; "-" &amp; UPPER(LEFT(C476, 3)) &amp; "-" &amp; D476, "")</f>
        <v/>
      </c>
      <c r="B476" s="3"/>
      <c r="C476" s="2"/>
      <c r="D476" s="2"/>
      <c r="E476" s="2"/>
      <c r="F476" s="2"/>
      <c r="G476" s="3"/>
      <c r="H476" s="4"/>
      <c r="I476" s="3"/>
    </row>
    <row r="477" spans="1:9" x14ac:dyDescent="0.35">
      <c r="A477" s="6" t="str">
        <f>IF(COUNTA(B477:D477)=3, VLOOKUP(B477, [1]Configuracion!$A$2:$B$7, 2, FALSE) &amp; "-" &amp; UPPER(LEFT(C477, 3)) &amp; "-" &amp; D477, "")</f>
        <v/>
      </c>
      <c r="B477" s="3"/>
      <c r="C477" s="2"/>
      <c r="D477" s="2"/>
      <c r="E477" s="2"/>
      <c r="F477" s="2"/>
      <c r="G477" s="3"/>
      <c r="H477" s="4"/>
      <c r="I477" s="3"/>
    </row>
    <row r="478" spans="1:9" x14ac:dyDescent="0.35">
      <c r="A478" s="6" t="str">
        <f>IF(COUNTA(B478:D478)=3, VLOOKUP(B478, [1]Configuracion!$A$2:$B$7, 2, FALSE) &amp; "-" &amp; UPPER(LEFT(C478, 3)) &amp; "-" &amp; D478, "")</f>
        <v/>
      </c>
      <c r="B478" s="3"/>
      <c r="C478" s="2"/>
      <c r="D478" s="2"/>
      <c r="E478" s="2"/>
      <c r="F478" s="2"/>
      <c r="G478" s="3"/>
      <c r="H478" s="4"/>
      <c r="I478" s="3"/>
    </row>
    <row r="479" spans="1:9" x14ac:dyDescent="0.35">
      <c r="A479" s="6" t="str">
        <f>IF(COUNTA(B479:D479)=3, VLOOKUP(B479, [1]Configuracion!$A$2:$B$7, 2, FALSE) &amp; "-" &amp; UPPER(LEFT(C479, 3)) &amp; "-" &amp; D479, "")</f>
        <v/>
      </c>
      <c r="B479" s="3"/>
      <c r="C479" s="2"/>
      <c r="D479" s="2"/>
      <c r="E479" s="2"/>
      <c r="F479" s="2"/>
      <c r="G479" s="3"/>
      <c r="H479" s="4"/>
      <c r="I479" s="3"/>
    </row>
    <row r="480" spans="1:9" x14ac:dyDescent="0.35">
      <c r="A480" s="6" t="str">
        <f>IF(COUNTA(B480:D480)=3, VLOOKUP(B480, [1]Configuracion!$A$2:$B$7, 2, FALSE) &amp; "-" &amp; UPPER(LEFT(C480, 3)) &amp; "-" &amp; D480, "")</f>
        <v/>
      </c>
      <c r="B480" s="3"/>
      <c r="C480" s="2"/>
      <c r="D480" s="2"/>
      <c r="E480" s="2"/>
      <c r="F480" s="2"/>
      <c r="G480" s="3"/>
      <c r="H480" s="4"/>
      <c r="I480" s="3"/>
    </row>
    <row r="481" spans="1:9" x14ac:dyDescent="0.35">
      <c r="A481" s="6" t="str">
        <f>IF(COUNTA(B481:D481)=3, VLOOKUP(B481, [1]Configuracion!$A$2:$B$7, 2, FALSE) &amp; "-" &amp; UPPER(LEFT(C481, 3)) &amp; "-" &amp; D481, "")</f>
        <v/>
      </c>
      <c r="B481" s="3"/>
      <c r="C481" s="2"/>
      <c r="D481" s="2"/>
      <c r="E481" s="2"/>
      <c r="F481" s="2"/>
      <c r="G481" s="3"/>
      <c r="H481" s="4"/>
      <c r="I481" s="3"/>
    </row>
    <row r="482" spans="1:9" x14ac:dyDescent="0.35">
      <c r="A482" s="6" t="str">
        <f>IF(COUNTA(B482:D482)=3, VLOOKUP(B482, [1]Configuracion!$A$2:$B$7, 2, FALSE) &amp; "-" &amp; UPPER(LEFT(C482, 3)) &amp; "-" &amp; D482, "")</f>
        <v/>
      </c>
      <c r="B482" s="3"/>
      <c r="C482" s="2"/>
      <c r="D482" s="2"/>
      <c r="E482" s="2"/>
      <c r="F482" s="2"/>
      <c r="G482" s="3"/>
      <c r="H482" s="4"/>
      <c r="I482" s="3"/>
    </row>
    <row r="483" spans="1:9" x14ac:dyDescent="0.35">
      <c r="A483" s="6" t="str">
        <f>IF(COUNTA(B483:D483)=3, VLOOKUP(B483, [1]Configuracion!$A$2:$B$7, 2, FALSE) &amp; "-" &amp; UPPER(LEFT(C483, 3)) &amp; "-" &amp; D483, "")</f>
        <v/>
      </c>
      <c r="B483" s="3"/>
      <c r="C483" s="2"/>
      <c r="D483" s="2"/>
      <c r="E483" s="2"/>
      <c r="F483" s="2"/>
      <c r="G483" s="3"/>
      <c r="H483" s="4"/>
      <c r="I483" s="3"/>
    </row>
    <row r="484" spans="1:9" x14ac:dyDescent="0.35">
      <c r="A484" s="6" t="str">
        <f>IF(COUNTA(B484:D484)=3, VLOOKUP(B484, [1]Configuracion!$A$2:$B$7, 2, FALSE) &amp; "-" &amp; UPPER(LEFT(C484, 3)) &amp; "-" &amp; D484, "")</f>
        <v/>
      </c>
      <c r="B484" s="3"/>
      <c r="C484" s="2"/>
      <c r="D484" s="2"/>
      <c r="E484" s="2"/>
      <c r="F484" s="2"/>
      <c r="G484" s="3"/>
      <c r="H484" s="4"/>
      <c r="I484" s="3"/>
    </row>
    <row r="485" spans="1:9" x14ac:dyDescent="0.35">
      <c r="A485" s="6" t="str">
        <f>IF(COUNTA(B485:D485)=3, VLOOKUP(B485, [1]Configuracion!$A$2:$B$7, 2, FALSE) &amp; "-" &amp; UPPER(LEFT(C485, 3)) &amp; "-" &amp; D485, "")</f>
        <v/>
      </c>
      <c r="B485" s="3"/>
      <c r="C485" s="2"/>
      <c r="D485" s="2"/>
      <c r="E485" s="2"/>
      <c r="F485" s="2"/>
      <c r="G485" s="3"/>
      <c r="H485" s="4"/>
      <c r="I485" s="3"/>
    </row>
    <row r="486" spans="1:9" x14ac:dyDescent="0.35">
      <c r="A486" s="6" t="str">
        <f>IF(COUNTA(B486:D486)=3, VLOOKUP(B486, [1]Configuracion!$A$2:$B$7, 2, FALSE) &amp; "-" &amp; UPPER(LEFT(C486, 3)) &amp; "-" &amp; D486, "")</f>
        <v/>
      </c>
      <c r="B486" s="3"/>
      <c r="C486" s="2"/>
      <c r="D486" s="2"/>
      <c r="E486" s="2"/>
      <c r="F486" s="2"/>
      <c r="G486" s="3"/>
      <c r="H486" s="4"/>
      <c r="I486" s="3"/>
    </row>
    <row r="487" spans="1:9" x14ac:dyDescent="0.35">
      <c r="A487" s="6" t="str">
        <f>IF(COUNTA(B487:D487)=3, VLOOKUP(B487, [1]Configuracion!$A$2:$B$7, 2, FALSE) &amp; "-" &amp; UPPER(LEFT(C487, 3)) &amp; "-" &amp; D487, "")</f>
        <v/>
      </c>
      <c r="B487" s="3"/>
      <c r="C487" s="2"/>
      <c r="D487" s="2"/>
      <c r="E487" s="2"/>
      <c r="F487" s="2"/>
      <c r="G487" s="3"/>
      <c r="H487" s="4"/>
      <c r="I487" s="3"/>
    </row>
    <row r="488" spans="1:9" x14ac:dyDescent="0.35">
      <c r="A488" s="6" t="str">
        <f>IF(COUNTA(B488:D488)=3, VLOOKUP(B488, [1]Configuracion!$A$2:$B$7, 2, FALSE) &amp; "-" &amp; UPPER(LEFT(C488, 3)) &amp; "-" &amp; D488, "")</f>
        <v/>
      </c>
      <c r="B488" s="3"/>
      <c r="C488" s="2"/>
      <c r="D488" s="2"/>
      <c r="E488" s="2"/>
      <c r="F488" s="2"/>
      <c r="G488" s="3"/>
      <c r="H488" s="4"/>
      <c r="I488" s="3"/>
    </row>
    <row r="489" spans="1:9" x14ac:dyDescent="0.35">
      <c r="A489" s="6" t="str">
        <f>IF(COUNTA(B489:D489)=3, VLOOKUP(B489, [1]Configuracion!$A$2:$B$7, 2, FALSE) &amp; "-" &amp; UPPER(LEFT(C489, 3)) &amp; "-" &amp; D489, "")</f>
        <v/>
      </c>
      <c r="B489" s="3"/>
      <c r="C489" s="2"/>
      <c r="D489" s="2"/>
      <c r="E489" s="2"/>
      <c r="F489" s="2"/>
      <c r="G489" s="3"/>
      <c r="H489" s="4"/>
      <c r="I489" s="3"/>
    </row>
    <row r="490" spans="1:9" x14ac:dyDescent="0.35">
      <c r="A490" s="6" t="str">
        <f>IF(COUNTA(B490:D490)=3, VLOOKUP(B490, [1]Configuracion!$A$2:$B$7, 2, FALSE) &amp; "-" &amp; UPPER(LEFT(C490, 3)) &amp; "-" &amp; D490, "")</f>
        <v/>
      </c>
      <c r="B490" s="3"/>
      <c r="C490" s="2"/>
      <c r="D490" s="2"/>
      <c r="E490" s="2"/>
      <c r="F490" s="2"/>
      <c r="G490" s="3"/>
      <c r="H490" s="4"/>
      <c r="I490" s="3"/>
    </row>
    <row r="491" spans="1:9" x14ac:dyDescent="0.35">
      <c r="A491" s="6" t="str">
        <f>IF(COUNTA(B491:D491)=3, VLOOKUP(B491, [1]Configuracion!$A$2:$B$7, 2, FALSE) &amp; "-" &amp; UPPER(LEFT(C491, 3)) &amp; "-" &amp; D491, "")</f>
        <v/>
      </c>
      <c r="B491" s="3"/>
      <c r="C491" s="2"/>
      <c r="D491" s="2"/>
      <c r="E491" s="2"/>
      <c r="F491" s="2"/>
      <c r="G491" s="3"/>
      <c r="H491" s="4"/>
      <c r="I491" s="3"/>
    </row>
    <row r="492" spans="1:9" x14ac:dyDescent="0.35">
      <c r="A492" s="6" t="str">
        <f>IF(COUNTA(B492:D492)=3, VLOOKUP(B492, [1]Configuracion!$A$2:$B$7, 2, FALSE) &amp; "-" &amp; UPPER(LEFT(C492, 3)) &amp; "-" &amp; D492, "")</f>
        <v/>
      </c>
      <c r="B492" s="3"/>
      <c r="C492" s="2"/>
      <c r="D492" s="2"/>
      <c r="E492" s="2"/>
      <c r="F492" s="2"/>
      <c r="G492" s="3"/>
      <c r="H492" s="4"/>
      <c r="I492" s="3"/>
    </row>
    <row r="493" spans="1:9" x14ac:dyDescent="0.35">
      <c r="A493" s="6" t="str">
        <f>IF(COUNTA(B493:D493)=3, VLOOKUP(B493, [1]Configuracion!$A$2:$B$7, 2, FALSE) &amp; "-" &amp; UPPER(LEFT(C493, 3)) &amp; "-" &amp; D493, "")</f>
        <v/>
      </c>
      <c r="B493" s="3"/>
      <c r="C493" s="2"/>
      <c r="D493" s="2"/>
      <c r="E493" s="2"/>
      <c r="F493" s="2"/>
      <c r="G493" s="3"/>
      <c r="H493" s="4"/>
      <c r="I493" s="3"/>
    </row>
    <row r="494" spans="1:9" x14ac:dyDescent="0.35">
      <c r="A494" s="6" t="str">
        <f>IF(COUNTA(B494:D494)=3, VLOOKUP(B494, [1]Configuracion!$A$2:$B$7, 2, FALSE) &amp; "-" &amp; UPPER(LEFT(C494, 3)) &amp; "-" &amp; D494, "")</f>
        <v/>
      </c>
      <c r="B494" s="3"/>
      <c r="C494" s="2"/>
      <c r="D494" s="2"/>
      <c r="E494" s="2"/>
      <c r="F494" s="2"/>
      <c r="G494" s="3"/>
      <c r="H494" s="4"/>
      <c r="I494" s="3"/>
    </row>
    <row r="495" spans="1:9" x14ac:dyDescent="0.35">
      <c r="A495" s="6" t="str">
        <f>IF(COUNTA(B495:D495)=3, VLOOKUP(B495, [1]Configuracion!$A$2:$B$7, 2, FALSE) &amp; "-" &amp; UPPER(LEFT(C495, 3)) &amp; "-" &amp; D495, "")</f>
        <v/>
      </c>
      <c r="B495" s="3"/>
      <c r="C495" s="2"/>
      <c r="D495" s="2"/>
      <c r="E495" s="2"/>
      <c r="F495" s="2"/>
      <c r="G495" s="3"/>
      <c r="H495" s="4"/>
      <c r="I495" s="3"/>
    </row>
  </sheetData>
  <mergeCells count="1">
    <mergeCell ref="A1:I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b0826c-3a60-42b9-acc4-f0e6c5a8112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DE06027AE02940A9C0467A7C41FD59" ma:contentTypeVersion="15" ma:contentTypeDescription="Create a new document." ma:contentTypeScope="" ma:versionID="77c3d95ce46cce0f00b0dcf881eff977">
  <xsd:schema xmlns:xsd="http://www.w3.org/2001/XMLSchema" xmlns:xs="http://www.w3.org/2001/XMLSchema" xmlns:p="http://schemas.microsoft.com/office/2006/metadata/properties" xmlns:ns3="fbb0826c-3a60-42b9-acc4-f0e6c5a81120" xmlns:ns4="4ad5e52d-12a7-4c61-b97f-7012974b8227" targetNamespace="http://schemas.microsoft.com/office/2006/metadata/properties" ma:root="true" ma:fieldsID="1f251fae2484a32269c7b16b42c33bb2" ns3:_="" ns4:_="">
    <xsd:import namespace="fbb0826c-3a60-42b9-acc4-f0e6c5a81120"/>
    <xsd:import namespace="4ad5e52d-12a7-4c61-b97f-7012974b82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0826c-3a60-42b9-acc4-f0e6c5a811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5e52d-12a7-4c61-b97f-7012974b822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2B0708-1901-4ED9-ADB6-7C79C36D67C5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  <ds:schemaRef ds:uri="fbb0826c-3a60-42b9-acc4-f0e6c5a81120"/>
    <ds:schemaRef ds:uri="http://schemas.microsoft.com/office/2006/documentManagement/types"/>
    <ds:schemaRef ds:uri="http://schemas.microsoft.com/office/2006/metadata/properties"/>
    <ds:schemaRef ds:uri="4ad5e52d-12a7-4c61-b97f-7012974b8227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D5D120A-E995-4812-BA16-FFE8FE6F6B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012CF4-EA6C-4219-A0DE-CC3AC39D5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b0826c-3a60-42b9-acc4-f0e6c5a81120"/>
    <ds:schemaRef ds:uri="4ad5e52d-12a7-4c61-b97f-7012974b82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Órdenes de fabricación</vt:lpstr>
      <vt:lpstr>Hoja Viajera</vt:lpstr>
      <vt:lpstr>consolidado_materiales</vt:lpstr>
      <vt:lpstr>Maestro Materiales ERP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Ixchel Orozco Viveros</cp:lastModifiedBy>
  <cp:revision/>
  <dcterms:created xsi:type="dcterms:W3CDTF">2026-08-16T21:54:54Z</dcterms:created>
  <dcterms:modified xsi:type="dcterms:W3CDTF">2026-10-02T22:15:00Z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0x01010059DE06027AE02940A9C0467A7C41FD59</vt:lpwstr>
  </property>
</Properties>
</file>