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vani\Downloads\"/>
    </mc:Choice>
  </mc:AlternateContent>
  <xr:revisionPtr revIDLastSave="0" documentId="13_ncr:1_{5DC0880A-5D66-4F8B-901B-1E5F4C4B68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_General" sheetId="1" r:id="rId1"/>
    <sheet name="Consolidado_Materiales" sheetId="2" r:id="rId2"/>
    <sheet name="MARSA ACEROS" sheetId="3" r:id="rId3"/>
    <sheet name="Amazon" sheetId="4" r:id="rId4"/>
    <sheet name="Aliexpress" sheetId="5" r:id="rId5"/>
    <sheet name="NXP" sheetId="6" r:id="rId6"/>
    <sheet name="JLCPCB" sheetId="7" r:id="rId7"/>
    <sheet name="Intel" sheetId="8" r:id="rId8"/>
    <sheet name="ZICZNT" sheetId="9" r:id="rId9"/>
    <sheet name="SanDoRobotics" sheetId="10" r:id="rId10"/>
    <sheet name="Mexbit" sheetId="11" r:id="rId11"/>
    <sheet name="Elf te Motor-Steadywin Official" sheetId="12" r:id="rId12"/>
    <sheet name="Steren" sheetId="13" r:id="rId13"/>
    <sheet name="Mar China" sheetId="14" r:id="rId14"/>
    <sheet name="Lizar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" l="1"/>
  <c r="D12" i="1"/>
  <c r="G20" i="5"/>
  <c r="G18" i="5"/>
  <c r="G19" i="5"/>
  <c r="G31" i="15"/>
  <c r="G16" i="15"/>
  <c r="G31" i="14"/>
  <c r="G16" i="14"/>
  <c r="G31" i="13"/>
  <c r="G16" i="13"/>
  <c r="G31" i="12"/>
  <c r="G17" i="12"/>
  <c r="G16" i="12"/>
  <c r="G31" i="11"/>
  <c r="G23" i="11"/>
  <c r="G22" i="11"/>
  <c r="G21" i="11"/>
  <c r="G20" i="11"/>
  <c r="G19" i="11"/>
  <c r="G18" i="11"/>
  <c r="G17" i="11"/>
  <c r="G16" i="11"/>
  <c r="G31" i="10"/>
  <c r="G16" i="10"/>
  <c r="G31" i="9"/>
  <c r="G16" i="9"/>
  <c r="G31" i="8"/>
  <c r="G16" i="8"/>
  <c r="G31" i="7"/>
  <c r="G16" i="7"/>
  <c r="G31" i="6"/>
  <c r="G16" i="6"/>
  <c r="G17" i="5"/>
  <c r="G31" i="5" s="1"/>
  <c r="G16" i="5"/>
  <c r="G31" i="4"/>
  <c r="G20" i="4"/>
  <c r="G19" i="4"/>
  <c r="G18" i="4"/>
  <c r="G17" i="4"/>
  <c r="G16" i="4"/>
  <c r="G31" i="3"/>
  <c r="G17" i="3"/>
  <c r="G16" i="3"/>
  <c r="E22" i="1"/>
  <c r="D22" i="1"/>
  <c r="D21" i="1"/>
  <c r="D20" i="1"/>
  <c r="E19" i="1"/>
  <c r="D19" i="1"/>
  <c r="E18" i="1"/>
  <c r="D18" i="1"/>
  <c r="E17" i="1"/>
  <c r="D17" i="1"/>
  <c r="E16" i="1"/>
  <c r="D16" i="1"/>
  <c r="D15" i="1"/>
  <c r="E14" i="1"/>
  <c r="D14" i="1"/>
  <c r="D13" i="1"/>
  <c r="D11" i="1"/>
  <c r="D10" i="1"/>
  <c r="E5" i="1"/>
  <c r="D23" i="1" l="1"/>
  <c r="G32" i="15"/>
  <c r="E21" i="1"/>
  <c r="G32" i="14"/>
  <c r="G32" i="13"/>
  <c r="E20" i="1"/>
  <c r="G32" i="12"/>
  <c r="G32" i="11"/>
  <c r="G32" i="10"/>
  <c r="F17" i="1" s="1"/>
  <c r="G33" i="10"/>
  <c r="G17" i="1" s="1"/>
  <c r="G32" i="9"/>
  <c r="E15" i="1"/>
  <c r="G32" i="8"/>
  <c r="G32" i="7"/>
  <c r="E13" i="1"/>
  <c r="G32" i="6"/>
  <c r="E12" i="1"/>
  <c r="G32" i="5"/>
  <c r="G33" i="4"/>
  <c r="G11" i="1" s="1"/>
  <c r="E11" i="1"/>
  <c r="G32" i="4"/>
  <c r="F11" i="1" s="1"/>
  <c r="G32" i="3"/>
  <c r="F10" i="1" s="1"/>
  <c r="G33" i="3"/>
  <c r="G10" i="1" s="1"/>
  <c r="E10" i="1"/>
  <c r="E23" i="1" l="1"/>
  <c r="F22" i="1"/>
  <c r="G33" i="15"/>
  <c r="G22" i="1" s="1"/>
  <c r="F21" i="1"/>
  <c r="G33" i="14"/>
  <c r="G21" i="1" s="1"/>
  <c r="F20" i="1"/>
  <c r="G33" i="13"/>
  <c r="G20" i="1" s="1"/>
  <c r="F19" i="1"/>
  <c r="G33" i="12"/>
  <c r="G19" i="1" s="1"/>
  <c r="F18" i="1"/>
  <c r="G33" i="11"/>
  <c r="G18" i="1" s="1"/>
  <c r="F16" i="1"/>
  <c r="G33" i="9"/>
  <c r="G16" i="1" s="1"/>
  <c r="F15" i="1"/>
  <c r="G33" i="8"/>
  <c r="G15" i="1" s="1"/>
  <c r="F14" i="1"/>
  <c r="G33" i="7"/>
  <c r="G14" i="1" s="1"/>
  <c r="F13" i="1"/>
  <c r="G33" i="6"/>
  <c r="G13" i="1" s="1"/>
  <c r="F12" i="1"/>
  <c r="F23" i="1" s="1"/>
  <c r="G33" i="5"/>
  <c r="G12" i="1" s="1"/>
  <c r="G23" i="1" s="1"/>
</calcChain>
</file>

<file path=xl/sharedStrings.xml><?xml version="1.0" encoding="utf-8"?>
<sst xmlns="http://schemas.openxmlformats.org/spreadsheetml/2006/main" count="1097" uniqueCount="256">
  <si>
    <t>CYBERSOLUTIONS S.A. DE C.V.</t>
  </si>
  <si>
    <t>DASHBOARD DE ÓRDENES DE COMPRA Y MATERIALES DE PROYECTO</t>
  </si>
  <si>
    <t>Total Proveedores</t>
  </si>
  <si>
    <t>Total Componentes</t>
  </si>
  <si>
    <t>Monto Total Consolidado</t>
  </si>
  <si>
    <t>13</t>
  </si>
  <si>
    <t>27</t>
  </si>
  <si>
    <t>RESUMEN DE ÓRDENES DE COMPRA POR PROVEEDOR</t>
  </si>
  <si>
    <t>N°</t>
  </si>
  <si>
    <t>Proveedor</t>
  </si>
  <si>
    <t>Orden de Compra</t>
  </si>
  <si>
    <t>Ítems</t>
  </si>
  <si>
    <t>Subtotal (MXN)</t>
  </si>
  <si>
    <t>IVA 16% (MXN)</t>
  </si>
  <si>
    <t>Total (MXN)</t>
  </si>
  <si>
    <t>MARSA ACEROS</t>
  </si>
  <si>
    <t>OC-2026-001</t>
  </si>
  <si>
    <t>Amazon</t>
  </si>
  <si>
    <t>OC-2026-002</t>
  </si>
  <si>
    <t>Aliexpress</t>
  </si>
  <si>
    <t>OC-2026-003</t>
  </si>
  <si>
    <t>NXP</t>
  </si>
  <si>
    <t>OC-2026-004</t>
  </si>
  <si>
    <t>JLCPCB</t>
  </si>
  <si>
    <t>OC-2026-005</t>
  </si>
  <si>
    <t>Intel</t>
  </si>
  <si>
    <t>OC-2026-006</t>
  </si>
  <si>
    <t>ZICZNT</t>
  </si>
  <si>
    <t>OC-2026-007</t>
  </si>
  <si>
    <t>SanDoRobotics</t>
  </si>
  <si>
    <t>OC-2026-008</t>
  </si>
  <si>
    <t>Mexbit</t>
  </si>
  <si>
    <t>OC-2026-009</t>
  </si>
  <si>
    <t>Elf te Motor-Steadywin Official Store</t>
  </si>
  <si>
    <t>OC-2026-010</t>
  </si>
  <si>
    <t>Steren</t>
  </si>
  <si>
    <t>OC-2026-011</t>
  </si>
  <si>
    <t>Mar China</t>
  </si>
  <si>
    <t>OC-2026-012</t>
  </si>
  <si>
    <t>Lizar</t>
  </si>
  <si>
    <t>OC-2026-013</t>
  </si>
  <si>
    <t>TOTAL GENERAL</t>
  </si>
  <si>
    <t>CONSOLIDADO MASTER DE MATERIALES Y COMPONENTES</t>
  </si>
  <si>
    <t>ID</t>
  </si>
  <si>
    <t>Proyecto</t>
  </si>
  <si>
    <t>Componente / Descripción</t>
  </si>
  <si>
    <t>Modelo / Código</t>
  </si>
  <si>
    <t>Cantidad</t>
  </si>
  <si>
    <t>Unidad</t>
  </si>
  <si>
    <t>Subtotal Lineal ($)</t>
  </si>
  <si>
    <t>Tiempo Entrega</t>
  </si>
  <si>
    <t>País Origen</t>
  </si>
  <si>
    <t>Contacto</t>
  </si>
  <si>
    <t>Ficha Técnica</t>
  </si>
  <si>
    <t>Fecha Cotización</t>
  </si>
  <si>
    <t>Riesgo Suministro</t>
  </si>
  <si>
    <t>Estatus OC</t>
  </si>
  <si>
    <t>AMR</t>
  </si>
  <si>
    <t>PTR 1/2''x1/2'' calibre 16</t>
  </si>
  <si>
    <t>Acero al carbón</t>
  </si>
  <si>
    <t>metros</t>
  </si>
  <si>
    <t>Inmediato</t>
  </si>
  <si>
    <t>México</t>
  </si>
  <si>
    <t>3318941761</t>
  </si>
  <si>
    <t>https://neufert-cdn.archdaily.net/uploads/product_file/file/2979/Informaci_n_t_cnica_Tuber_a_y_Perfiles.pdf</t>
  </si>
  <si>
    <t>8/20/2026</t>
  </si>
  <si>
    <t>Bajo</t>
  </si>
  <si>
    <t>Generado</t>
  </si>
  <si>
    <t>AMR2</t>
  </si>
  <si>
    <t>Filamento para impresión</t>
  </si>
  <si>
    <t>Filamento Creality PLA-CF</t>
  </si>
  <si>
    <t>kg</t>
  </si>
  <si>
    <t>2-5 días</t>
  </si>
  <si>
    <t>https://www.amazon.com.mx/Creality-Filamento-Velocidad-Precisi%C3%B3n-Dimensional/dp/B0CW2HNX9Z/ref=asc_df_B0CW2HNX9Z?mcid=7270e3ac5d6c382c973c093f6d01f4c1&amp;tag=gledskshopmx-20&amp;linkCode=df0&amp;hvadid=709846585842&amp;hvpos=&amp;hvnetw=g&amp;hvrand=5090988279418419497&amp;hvpone=&amp;hvptwo=&amp;hvqmt=&amp;hvdev=c&amp;hvdvcmdl=&amp;hvlocint=&amp;hvlocphy=9135228&amp;hvtargid=pla-2425754051991&amp;hvocijid=5090988279418419497-B0CW2HNX9Z-&amp;hvexpln=0&amp;language=es_MX&amp;th=1</t>
  </si>
  <si>
    <t>https://store.creality.com/es/products/hyper-pla-cf</t>
  </si>
  <si>
    <t>Medio</t>
  </si>
  <si>
    <t>AMR3</t>
  </si>
  <si>
    <t xml:space="preserve">Motor </t>
  </si>
  <si>
    <t>Chihai</t>
  </si>
  <si>
    <t>Pza</t>
  </si>
  <si>
    <t>1-4 semanas</t>
  </si>
  <si>
    <t>China</t>
  </si>
  <si>
    <t>86-14775544575</t>
  </si>
  <si>
    <t>https://es.aliexpress.com/item/32822227433.html?src=google&amp;src=google&amp;albch=shopping&amp;acnt=742-864-1166&amp;isdl=y&amp;slnk=&amp;plac=&amp;mtctp=&amp;albbt=Google_7_shopping&amp;aff_platform=google&amp;aff_short_key=UneMJZVf&amp;gclsrc=aw.ds&amp;albagn=888888&amp;ds_e_adid=&amp;ds_e_matchtype=&amp;ds_e_device=c&amp;ds_e_network=x&amp;ds_e_product_group_id=&amp;ds_e_product_id=es32822227433&amp;ds_e_product_merchant_id=106284498&amp;ds_e_product_country=MX&amp;ds_e_product_language=es&amp;ds_e_product_channel=online&amp;ds_e_product_store_id=&amp;ds_url_v=2&amp;albcp=21989024792&amp;albag=&amp;isSmbAutoCall=false&amp;needSmbHouyi=false&amp;gad_source=1&amp;gad_campaignid=21992960584&amp;gbraid=0AAAAA99aYpekaq6Xwsyw5IOR2i4WFnqJu&amp;gclid=Cj0KCQjw7eXTBhDBARIsAKF-w44cDTJcwSOQyjJs5eFc_WKQfW5BCsa-Duszc2aTK1phhz8Lbdw_irgaAr6HEALw_wcB</t>
  </si>
  <si>
    <t>AMR4</t>
  </si>
  <si>
    <t>Microcontrolador</t>
  </si>
  <si>
    <t>NXP S32K344</t>
  </si>
  <si>
    <t>1 - 2 días</t>
  </si>
  <si>
    <t xml:space="preserve">México </t>
  </si>
  <si>
    <t>https://support.nxp.com/s/?language=en_US</t>
  </si>
  <si>
    <t>S32K3xx Data Sheet</t>
  </si>
  <si>
    <t>AMR5</t>
  </si>
  <si>
    <t>PCB</t>
  </si>
  <si>
    <t>NA</t>
  </si>
  <si>
    <t>1 semana</t>
  </si>
  <si>
    <t>hk@jlcpcb.com</t>
  </si>
  <si>
    <t>¿Qué es una PCB o Placa de Circuito Impreso? | Altium</t>
  </si>
  <si>
    <t>AMR6</t>
  </si>
  <si>
    <t>Computadora</t>
  </si>
  <si>
    <t>Nuc 13 Pro</t>
  </si>
  <si>
    <t>3 días</t>
  </si>
  <si>
    <t>33 2265 3660</t>
  </si>
  <si>
    <t>https://gzhls.at/blob/ldb/3/0/e/6/3258a588b77a736bbb371eaa7d358c35de33.pdf</t>
  </si>
  <si>
    <t>AMR7</t>
  </si>
  <si>
    <t>Lidar</t>
  </si>
  <si>
    <t>Rplidar A1M8</t>
  </si>
  <si>
    <t>2 semanas</t>
  </si>
  <si>
    <t>support@siminics.com</t>
  </si>
  <si>
    <t>https://www.slamtec.com/en/lidar/a1?gad_source=1&amp;gad_campaignid=22714698620&amp;gbraid=0AAAAA_rvLk1GFNhzEN91uwncUxmMTGPgP&amp;gclid=CjwKCAjwy5rUBhB5EiwAIoAtCuFFiCLyzqfg03964M5Fl_3vL7vGNnrAnaZGqjEM114ZdIXQrFMQHBoCG2IQAvD_BwE</t>
  </si>
  <si>
    <t>AMR8</t>
  </si>
  <si>
    <t>Web cam</t>
  </si>
  <si>
    <t>Logitech C920</t>
  </si>
  <si>
    <t>https://www.amazon.com.mx/Logitech-Webcam-Resoluci%C3%B3n-FullHD-1080p/dp/B006JH8T3S/ref=asc_df_B006JH8T3S?mcid=40a40b9a200839f89fe30624ccac09ca&amp;tag=gledskshopmx-20&amp;linkCode=df0&amp;hvadid=709968296105&amp;hvpos=&amp;hvnetw=g&amp;hvrand=5838201541394842404&amp;hvpone=&amp;hvptwo=&amp;hvqmt=&amp;hvdev=c&amp;hvdvcmdl=&amp;hvlocint=&amp;hvlocphy=1010079&amp;hvtargid=pla-365069354613&amp;hvocijid=5838201541394842404-B006JH8T3S-&amp;hvexpln=0&amp;language=es_MX&amp;th=1</t>
  </si>
  <si>
    <t>https://www.logitech.com/es-mx/shop/p/c920-pro-hd-webcam</t>
  </si>
  <si>
    <t>AMR9</t>
  </si>
  <si>
    <t>Drivers</t>
  </si>
  <si>
    <t>Roboclaw 2x45</t>
  </si>
  <si>
    <t>3-7 días</t>
  </si>
  <si>
    <t>5557683208</t>
  </si>
  <si>
    <t>https://core-electronics.com.au/attachments/localcontent/roboclaw_datasheet_ST_2x45A_43321507500.pdf</t>
  </si>
  <si>
    <t>AMR10</t>
  </si>
  <si>
    <t>Resistencia</t>
  </si>
  <si>
    <t>10 k omh</t>
  </si>
  <si>
    <t>inmediato</t>
  </si>
  <si>
    <t>33 34495988</t>
  </si>
  <si>
    <t>RESISTOR Datasheet(PDF) - DMR16 - Dubilier</t>
  </si>
  <si>
    <t>AMR11</t>
  </si>
  <si>
    <t>Optoacoplador</t>
  </si>
  <si>
    <t>4n25</t>
  </si>
  <si>
    <t>4n25.pdf</t>
  </si>
  <si>
    <t>AMR12</t>
  </si>
  <si>
    <t>Diodo</t>
  </si>
  <si>
    <t>1n4007</t>
  </si>
  <si>
    <t>1N4007 Datasheet(PDF) - Diodes Incorporated</t>
  </si>
  <si>
    <t>AMR13</t>
  </si>
  <si>
    <t>Capacitor</t>
  </si>
  <si>
    <t>10 mF</t>
  </si>
  <si>
    <t>10 mF Aluminum Electrolytic Capacitors | Capacitors | DigiKey</t>
  </si>
  <si>
    <t>AMR14</t>
  </si>
  <si>
    <t>Cables UTP</t>
  </si>
  <si>
    <t>UTP</t>
  </si>
  <si>
    <t>m</t>
  </si>
  <si>
    <t>https://assets.tripplite.com/product-pdfs/es/n002006bl.pdf</t>
  </si>
  <si>
    <t>Cable Calibre 12</t>
  </si>
  <si>
    <t>Calibre 12</t>
  </si>
  <si>
    <t>AMR15</t>
  </si>
  <si>
    <t>Bateria</t>
  </si>
  <si>
    <t>24V LiPo</t>
  </si>
  <si>
    <t>2-4 semanas</t>
  </si>
  <si>
    <t>1103456202</t>
  </si>
  <si>
    <t>24V 30Ah 6s3p 18650 batería de litio 24V 30000mAh batería de iones de litio + cargador - AliExpress 44</t>
  </si>
  <si>
    <t>AMR16</t>
  </si>
  <si>
    <t xml:space="preserve">Sensor Infrarrojo difuso </t>
  </si>
  <si>
    <t>E18-B03N1</t>
  </si>
  <si>
    <t>https://www.amazon.com.mx/Sensor-fotoel%C3%A9ctrico-interruptor-E18-B03P1-Interruptor/dp/B07SW6JF6S/ref=asc_df_B07SW6JF6S?mcid=be51d55fc27b31debcbb62f70c169619&amp;tag=gledskshopmx-20&amp;linkCode=df0&amp;hvadid=709846585818&amp;hvpos=&amp;hvnetw=g&amp;hvrand=7632817013959038466&amp;hvpone=&amp;hvptwo=&amp;hvqmt=&amp;hvdev=c&amp;hvdvcmdl=&amp;hvlocint=&amp;hvlocphy=9138282&amp;hvtargid=pla-1884634689493&amp;psc=1&amp;hvocijid=7632817013959038466-B07SW6JF6S-&amp;hvexpln=0&amp;language=es_MX</t>
  </si>
  <si>
    <t>E18-B03N1 Infrared Proximity Photoelectric Switch | RAM Electronics</t>
  </si>
  <si>
    <t xml:space="preserve">Brazo robotico </t>
  </si>
  <si>
    <t>Brazo Robótico</t>
  </si>
  <si>
    <t>Motor brushless 8NM GIM8108-48</t>
  </si>
  <si>
    <t>GIM8108-8</t>
  </si>
  <si>
    <t>1 - 4 semanas</t>
  </si>
  <si>
    <t>+86 13077918423</t>
  </si>
  <si>
    <t>https://ae-pic-a1.aliexpress-media.com/kf/Sb67d8ccea6ae4649b51a2712f7c8611eg.pdf?spm=a2g0o.detail.0.0.1322KVvjKVvj1W&amp;file=Sb67d8ccea6ae4649b51a2712f7c8611eg.pdf</t>
  </si>
  <si>
    <t>Brazo robotico 2</t>
  </si>
  <si>
    <t>Motor brushless 3NM</t>
  </si>
  <si>
    <t>GB3506</t>
  </si>
  <si>
    <t>2 - 4 semanas</t>
  </si>
  <si>
    <t>https://steadywin-motor.com/cdn/shop/files/3506_2000x.jpg?v=1750326533</t>
  </si>
  <si>
    <t>Brazo robotico 3</t>
  </si>
  <si>
    <t>Brazo robotico 4</t>
  </si>
  <si>
    <t>Servomotor</t>
  </si>
  <si>
    <t>MOT-135</t>
  </si>
  <si>
    <t>55 1516 6000</t>
  </si>
  <si>
    <t>https://www.steren.com.mx/servomotor-con-torque-de-10-kgf-cm.html?srsltid=AfmBOoodynb07wiyG5HLrRWoRo3xQeaF0t86a-UxOLlcGjYSLgfvN-Wv</t>
  </si>
  <si>
    <t>Brazo robotico 5</t>
  </si>
  <si>
    <t>Brazo robotico 6</t>
  </si>
  <si>
    <t>34 34495988</t>
  </si>
  <si>
    <t>Brazo robotico 7</t>
  </si>
  <si>
    <t>Lamina de acero</t>
  </si>
  <si>
    <t>Calibre 16</t>
  </si>
  <si>
    <t>https://acerosmarsal.com.mx/lamina-rc/</t>
  </si>
  <si>
    <t>Brazo robotico 8</t>
  </si>
  <si>
    <t>Solera de alumino</t>
  </si>
  <si>
    <t>Aluminio 6061</t>
  </si>
  <si>
    <t>''x14''x1/4''</t>
  </si>
  <si>
    <t>33 3620 8756</t>
  </si>
  <si>
    <t>SOLERA 1/4 x 6 plg ALUMINIO 17592 | METALES MarChina - ¡Todo en Aluminio, Metales NO Ferrosos y Plásticos!</t>
  </si>
  <si>
    <t>Brazo robotico 9</t>
  </si>
  <si>
    <t>tornillos</t>
  </si>
  <si>
    <t>Allen</t>
  </si>
  <si>
    <t>33 3124 5228 </t>
  </si>
  <si>
    <t>https://es.scribd.com/document/1065520561/Ficha-Tecnica-Torn-Allen-Cilindrico-Metrico</t>
  </si>
  <si>
    <t>Brazo robotico 10</t>
  </si>
  <si>
    <t>Rodamiento de rodillos cruzados</t>
  </si>
  <si>
    <t>SHF-14</t>
  </si>
  <si>
    <t>3-10 días</t>
  </si>
  <si>
    <t>Estados Unidos</t>
  </si>
  <si>
    <t>https://www.amazon.com.mx/Rodamiento-rodillos-cruzados-SHF-14-SHF-17/dp/B0HCNCN74D/ref=sr_1_13?dib=eyJ2IjoiMSJ9.HG-IB0-rHKeN-jeEy1c-7jYM8t1ieseLNhhoS71Y3TdpCNKGw71VxXPhN-H_shkrZ2RUDOyrSarwz50Qi66munB7MJLgxK835VRa447h7Wc0kDUsYX9X4tdR85FiQdh-PcBkNAWFhCuQWE6ghmDtCaSELgGrhU3zDoYXuUxwMATEIvqmvR-o_vEggaXn8t9nmDpF5O4YQzhMtDV61G2-smLfu8ma7u-PqRcswmfVpdrP8E15NsZjLRiiPzOXzGIY9NteXMfvwR5d9QB9u6gy8m4b3qYNTMOkSVQQguvsudY.zislI9_XlbW8GwcjgfLHqYzQO4ognlFL_R4eoPeeWTg&amp;dib_tag=se&amp;keywords=balero%2Bde%2Brodillos%2Bcruzados&amp;qid=1787243163&amp;sr=8-13&amp;ufe=app_do%3Aamzn1.fos.de93fa6a-174c-4df7-be7c-5bc8e9c5a71b&amp;th=1</t>
  </si>
  <si>
    <t>https://lkpbearing.com/shf14-shg14-harmonic-reducer-bearings/</t>
  </si>
  <si>
    <t>TOTAL CONSOLIDADO</t>
  </si>
  <si>
    <t>ORDEN DE COMPRA</t>
  </si>
  <si>
    <t>CyberSolutions S.A. de C.V.</t>
  </si>
  <si>
    <t>N° de Orden:</t>
  </si>
  <si>
    <t>Avenida Aviación 4304, Zapopan, Jalisco</t>
  </si>
  <si>
    <t>Av. General Ramon Corona</t>
  </si>
  <si>
    <t>Fecha:</t>
  </si>
  <si>
    <t>20/08/2026</t>
  </si>
  <si>
    <t>Correo: compras@cybersolutions.com | Tel: 341 646 1280</t>
  </si>
  <si>
    <t>Términos:</t>
  </si>
  <si>
    <t>30 días netos</t>
  </si>
  <si>
    <t>DATOS DEL PROVEEDOR</t>
  </si>
  <si>
    <t>ENVIAR A</t>
  </si>
  <si>
    <t>Empresa:</t>
  </si>
  <si>
    <t>Atención:</t>
  </si>
  <si>
    <t>Atención a Clientes</t>
  </si>
  <si>
    <t>Depto. de Almacén y Logística</t>
  </si>
  <si>
    <t>Dirección:</t>
  </si>
  <si>
    <t>País: México</t>
  </si>
  <si>
    <t>Avenida Aviación 4304, Zapopan</t>
  </si>
  <si>
    <t>Tel/Email:</t>
  </si>
  <si>
    <t>Notas:</t>
  </si>
  <si>
    <t>Tel: 341 646 1280</t>
  </si>
  <si>
    <t>Ítem</t>
  </si>
  <si>
    <t>Código</t>
  </si>
  <si>
    <t>Descripción</t>
  </si>
  <si>
    <t>Precio Unitario</t>
  </si>
  <si>
    <t>Importe</t>
  </si>
  <si>
    <t>Subtotal:</t>
  </si>
  <si>
    <t>IVA (16%):</t>
  </si>
  <si>
    <t>Autorizado por:</t>
  </si>
  <si>
    <t>_________________________</t>
  </si>
  <si>
    <t>TOTAL:</t>
  </si>
  <si>
    <t>País: China</t>
  </si>
  <si>
    <t xml:space="preserve">País: México </t>
  </si>
  <si>
    <t>Lipo Tester</t>
  </si>
  <si>
    <t>Probador de Batería</t>
  </si>
  <si>
    <t>Encoder</t>
  </si>
  <si>
    <t>Encoder de doble cuadratura</t>
  </si>
  <si>
    <t>LiDAR</t>
  </si>
  <si>
    <t>Sensor de deteción de luz y rango</t>
  </si>
  <si>
    <t>Placa de circuito impreso</t>
  </si>
  <si>
    <t>Simbología</t>
  </si>
  <si>
    <t>Status entregado</t>
  </si>
  <si>
    <t>Status en camino</t>
  </si>
  <si>
    <t>Status por salir</t>
  </si>
  <si>
    <t>Status</t>
  </si>
  <si>
    <t>AMR17</t>
  </si>
  <si>
    <t>AMR18</t>
  </si>
  <si>
    <t>AMR19</t>
  </si>
  <si>
    <t>AMR20</t>
  </si>
  <si>
    <t>Probador de baterías LiPo</t>
  </si>
  <si>
    <t>Encoder doble cuadratura</t>
  </si>
  <si>
    <t>Sensor LiDAR</t>
  </si>
  <si>
    <t>Bx100 1-8s</t>
  </si>
  <si>
    <t>omron e6b2-cwz5b</t>
  </si>
  <si>
    <t>A1m8 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</si>
</sst>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595959"/>
      <name val="Calibri"/>
      <family val="2"/>
    </font>
    <font>
      <b/>
      <sz val="9"/>
      <color rgb="FF595959"/>
      <name val="Calibri"/>
      <family val="2"/>
    </font>
    <font>
      <b/>
      <sz val="16"/>
      <color rgb="FF1F497D"/>
      <name val="Calibri"/>
      <family val="2"/>
    </font>
    <font>
      <b/>
      <sz val="12"/>
      <color rgb="FF1F497D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8"/>
      <color rgb="FF1F497D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5F9"/>
        <bgColor rgb="FFF2F5F9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2F2F2"/>
      </patternFill>
    </fill>
    <fill>
      <patternFill patternType="solid">
        <fgColor rgb="FFFFFF00"/>
        <bgColor rgb="FFF2F2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54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0" fontId="0" fillId="0" borderId="2" xfId="0" applyBorder="1"/>
    <xf numFmtId="0" fontId="7" fillId="0" borderId="2" xfId="0" applyFont="1" applyBorder="1"/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10" fillId="0" borderId="0" xfId="0" applyFont="1"/>
    <xf numFmtId="14" fontId="9" fillId="0" borderId="0" xfId="0" applyNumberFormat="1" applyFont="1"/>
    <xf numFmtId="0" fontId="11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164" fontId="9" fillId="6" borderId="3" xfId="0" applyNumberFormat="1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164" fontId="9" fillId="0" borderId="3" xfId="0" applyNumberFormat="1" applyFont="1" applyBorder="1" applyAlignment="1">
      <alignment horizontal="right" vertical="center"/>
    </xf>
    <xf numFmtId="0" fontId="9" fillId="6" borderId="3" xfId="0" applyFont="1" applyFill="1" applyBorder="1"/>
    <xf numFmtId="8" fontId="9" fillId="6" borderId="3" xfId="0" applyNumberFormat="1" applyFont="1" applyFill="1" applyBorder="1"/>
    <xf numFmtId="0" fontId="9" fillId="0" borderId="3" xfId="0" applyFont="1" applyBorder="1"/>
    <xf numFmtId="8" fontId="9" fillId="0" borderId="3" xfId="0" applyNumberFormat="1" applyFont="1" applyBorder="1"/>
    <xf numFmtId="0" fontId="10" fillId="0" borderId="0" xfId="0" applyFont="1" applyAlignment="1">
      <alignment horizontal="right" vertical="center"/>
    </xf>
    <xf numFmtId="164" fontId="9" fillId="0" borderId="0" xfId="0" applyNumberFormat="1" applyFont="1"/>
    <xf numFmtId="164" fontId="10" fillId="6" borderId="0" xfId="0" applyNumberFormat="1" applyFont="1" applyFill="1"/>
    <xf numFmtId="0" fontId="2" fillId="0" borderId="0" xfId="0" applyFont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3" xfId="0" applyFont="1" applyBorder="1"/>
    <xf numFmtId="8" fontId="14" fillId="0" borderId="3" xfId="0" applyNumberFormat="1" applyFont="1" applyBorder="1"/>
    <xf numFmtId="164" fontId="9" fillId="6" borderId="3" xfId="1" applyNumberFormat="1" applyFont="1" applyFill="1" applyBorder="1"/>
    <xf numFmtId="0" fontId="6" fillId="5" borderId="0" xfId="0" applyFont="1" applyFill="1" applyAlignment="1">
      <alignment horizontal="center" vertical="center"/>
    </xf>
    <xf numFmtId="0" fontId="9" fillId="7" borderId="0" xfId="0" applyFont="1" applyFill="1"/>
    <xf numFmtId="0" fontId="0" fillId="0" borderId="0" xfId="0" applyAlignment="1"/>
    <xf numFmtId="0" fontId="6" fillId="5" borderId="3" xfId="0" applyFont="1" applyFill="1" applyBorder="1" applyAlignment="1">
      <alignment horizontal="center" vertical="center"/>
    </xf>
    <xf numFmtId="0" fontId="7" fillId="8" borderId="0" xfId="0" applyFont="1" applyFill="1"/>
    <xf numFmtId="0" fontId="9" fillId="9" borderId="0" xfId="0" applyFont="1" applyFill="1"/>
    <xf numFmtId="164" fontId="9" fillId="10" borderId="3" xfId="0" applyNumberFormat="1" applyFont="1" applyFill="1" applyBorder="1" applyAlignment="1">
      <alignment horizontal="right" vertical="center"/>
    </xf>
    <xf numFmtId="164" fontId="9" fillId="11" borderId="3" xfId="0" applyNumberFormat="1" applyFont="1" applyFill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164" fontId="0" fillId="4" borderId="1" xfId="1" applyNumberFormat="1" applyFont="1" applyFill="1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6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</dxfs>
  <tableStyles count="1" defaultTableStyle="TableStyleMedium9" defaultPivotStyle="PivotStyleLight16">
    <tableStyle name="Invisible" pivot="0" table="0" count="0" xr9:uid="{3D8C36E2-C31C-492D-9937-0E8C747F5F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Inversión Total por Proveedor (MXN con IVA)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Resumen_General!$G$9</c:f>
              <c:strCache>
                <c:ptCount val="1"/>
                <c:pt idx="0">
                  <c:v>Total (MXN)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Resumen_General!$B$10:$B$22</c:f>
              <c:strCache>
                <c:ptCount val="13"/>
                <c:pt idx="0">
                  <c:v>MARSA ACEROS</c:v>
                </c:pt>
                <c:pt idx="1">
                  <c:v>Amazon</c:v>
                </c:pt>
                <c:pt idx="2">
                  <c:v>Aliexpress</c:v>
                </c:pt>
                <c:pt idx="3">
                  <c:v>NXP</c:v>
                </c:pt>
                <c:pt idx="4">
                  <c:v>JLCPCB</c:v>
                </c:pt>
                <c:pt idx="5">
                  <c:v>Intel</c:v>
                </c:pt>
                <c:pt idx="6">
                  <c:v>ZICZNT</c:v>
                </c:pt>
                <c:pt idx="7">
                  <c:v>SanDoRobotics</c:v>
                </c:pt>
                <c:pt idx="8">
                  <c:v>Mexbit</c:v>
                </c:pt>
                <c:pt idx="9">
                  <c:v>Elf te Motor-Steadywin Official Store</c:v>
                </c:pt>
                <c:pt idx="10">
                  <c:v>Steren</c:v>
                </c:pt>
                <c:pt idx="11">
                  <c:v>Mar China</c:v>
                </c:pt>
                <c:pt idx="12">
                  <c:v>Lizar</c:v>
                </c:pt>
              </c:strCache>
            </c:strRef>
          </c:cat>
          <c:val>
            <c:numRef>
              <c:f>Resumen_General!$G$10:$G$22</c:f>
              <c:numCache>
                <c:formatCode>"$"#,##0.00</c:formatCode>
                <c:ptCount val="13"/>
                <c:pt idx="0">
                  <c:v>728.48</c:v>
                </c:pt>
                <c:pt idx="1">
                  <c:v>7360.2</c:v>
                </c:pt>
                <c:pt idx="2">
                  <c:v>17594.416000000001</c:v>
                </c:pt>
                <c:pt idx="3">
                  <c:v>1180.242</c:v>
                </c:pt>
                <c:pt idx="4">
                  <c:v>232</c:v>
                </c:pt>
                <c:pt idx="5">
                  <c:v>9349.6</c:v>
                </c:pt>
                <c:pt idx="6">
                  <c:v>1769.9628</c:v>
                </c:pt>
                <c:pt idx="7">
                  <c:v>15033.6</c:v>
                </c:pt>
                <c:pt idx="8">
                  <c:v>336.4</c:v>
                </c:pt>
                <c:pt idx="9">
                  <c:v>3662.0039999999995</c:v>
                </c:pt>
                <c:pt idx="10">
                  <c:v>230.84</c:v>
                </c:pt>
                <c:pt idx="11">
                  <c:v>3156.2208000000001</c:v>
                </c:pt>
                <c:pt idx="12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6-4F06-A990-66EBA650A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Proveedor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Monto ($ MXN)</a:t>
                </a:r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A4" workbookViewId="0">
      <selection activeCell="F12" sqref="F12"/>
    </sheetView>
  </sheetViews>
  <sheetFormatPr baseColWidth="10" defaultColWidth="8.88671875" defaultRowHeight="14.4" x14ac:dyDescent="0.3"/>
  <cols>
    <col min="1" max="1" width="59" customWidth="1"/>
    <col min="2" max="2" width="41" customWidth="1"/>
    <col min="3" max="3" width="21" customWidth="1"/>
    <col min="4" max="4" width="13" customWidth="1"/>
    <col min="5" max="5" width="27" customWidth="1"/>
    <col min="6" max="6" width="17" customWidth="1"/>
    <col min="7" max="7" width="15" customWidth="1"/>
  </cols>
  <sheetData>
    <row r="1" spans="1:7" ht="40.049999999999997" customHeight="1" x14ac:dyDescent="0.3">
      <c r="A1" s="37" t="s">
        <v>0</v>
      </c>
      <c r="B1" s="36"/>
      <c r="C1" s="36"/>
      <c r="D1" s="36"/>
      <c r="E1" s="36"/>
      <c r="F1" s="36"/>
      <c r="G1" s="36"/>
    </row>
    <row r="2" spans="1:7" ht="19.95" customHeight="1" x14ac:dyDescent="0.3">
      <c r="A2" s="35" t="s">
        <v>1</v>
      </c>
      <c r="B2" s="36"/>
      <c r="C2" s="36"/>
      <c r="D2" s="36"/>
      <c r="E2" s="36"/>
      <c r="F2" s="36"/>
      <c r="G2" s="36"/>
    </row>
    <row r="4" spans="1:7" x14ac:dyDescent="0.3">
      <c r="A4" s="1" t="s">
        <v>2</v>
      </c>
      <c r="C4" s="1" t="s">
        <v>3</v>
      </c>
      <c r="E4" s="1" t="s">
        <v>4</v>
      </c>
    </row>
    <row r="5" spans="1:7" ht="21" x14ac:dyDescent="0.3">
      <c r="A5" s="2" t="s">
        <v>5</v>
      </c>
      <c r="C5" s="2" t="s">
        <v>6</v>
      </c>
      <c r="E5" s="3">
        <f>SUM(Consolidado_Materiales!H2:H28)</f>
        <v>41705.779999999992</v>
      </c>
    </row>
    <row r="8" spans="1:7" ht="15.6" x14ac:dyDescent="0.3">
      <c r="A8" s="4" t="s">
        <v>7</v>
      </c>
    </row>
    <row r="9" spans="1:7" ht="24" customHeight="1" x14ac:dyDescent="0.3">
      <c r="A9" s="5" t="s">
        <v>8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</row>
    <row r="10" spans="1:7" x14ac:dyDescent="0.3">
      <c r="A10" s="6">
        <v>1</v>
      </c>
      <c r="B10" s="7" t="s">
        <v>15</v>
      </c>
      <c r="C10" s="6" t="s">
        <v>16</v>
      </c>
      <c r="D10" s="6">
        <f>COUNT('MARSA ACEROS'!A16:A29)</f>
        <v>2</v>
      </c>
      <c r="E10" s="8">
        <f>'MARSA ACEROS'!G31</f>
        <v>628</v>
      </c>
      <c r="F10" s="8">
        <f>'MARSA ACEROS'!G32</f>
        <v>100.48</v>
      </c>
      <c r="G10" s="8">
        <f>'MARSA ACEROS'!G33</f>
        <v>728.48</v>
      </c>
    </row>
    <row r="11" spans="1:7" x14ac:dyDescent="0.3">
      <c r="A11" s="9">
        <v>2</v>
      </c>
      <c r="B11" s="10" t="s">
        <v>17</v>
      </c>
      <c r="C11" s="9" t="s">
        <v>18</v>
      </c>
      <c r="D11" s="9">
        <f>COUNT(Amazon!A16:A29)</f>
        <v>5</v>
      </c>
      <c r="E11" s="11">
        <f>Amazon!G31</f>
        <v>6345</v>
      </c>
      <c r="F11" s="11">
        <f>Amazon!G32</f>
        <v>1015.2</v>
      </c>
      <c r="G11" s="11">
        <f>Amazon!G33</f>
        <v>7360.2</v>
      </c>
    </row>
    <row r="12" spans="1:7" x14ac:dyDescent="0.3">
      <c r="A12" s="6">
        <v>3</v>
      </c>
      <c r="B12" s="7" t="s">
        <v>19</v>
      </c>
      <c r="C12" s="6" t="s">
        <v>20</v>
      </c>
      <c r="D12" s="6">
        <f>COUNT(Aliexpress!A16:A29)</f>
        <v>5</v>
      </c>
      <c r="E12" s="8">
        <f>Aliexpress!G31</f>
        <v>15167.6</v>
      </c>
      <c r="F12" s="8">
        <f>Aliexpress!G32</f>
        <v>2426.8160000000003</v>
      </c>
      <c r="G12" s="8">
        <f>Aliexpress!G33</f>
        <v>17594.416000000001</v>
      </c>
    </row>
    <row r="13" spans="1:7" x14ac:dyDescent="0.3">
      <c r="A13" s="9">
        <v>4</v>
      </c>
      <c r="B13" s="10" t="s">
        <v>21</v>
      </c>
      <c r="C13" s="9" t="s">
        <v>22</v>
      </c>
      <c r="D13" s="9">
        <f>COUNT(NXP!A16:A29)</f>
        <v>1</v>
      </c>
      <c r="E13" s="11">
        <f>NXP!G31</f>
        <v>1017.45</v>
      </c>
      <c r="F13" s="11">
        <f>NXP!G32</f>
        <v>162.792</v>
      </c>
      <c r="G13" s="11">
        <f>NXP!G33</f>
        <v>1180.242</v>
      </c>
    </row>
    <row r="14" spans="1:7" x14ac:dyDescent="0.3">
      <c r="A14" s="6">
        <v>5</v>
      </c>
      <c r="B14" s="7" t="s">
        <v>23</v>
      </c>
      <c r="C14" s="6" t="s">
        <v>24</v>
      </c>
      <c r="D14" s="6">
        <f>COUNT(JLCPCB!A16:A29)</f>
        <v>1</v>
      </c>
      <c r="E14" s="8">
        <f>JLCPCB!G31</f>
        <v>200</v>
      </c>
      <c r="F14" s="8">
        <f>JLCPCB!G32</f>
        <v>32</v>
      </c>
      <c r="G14" s="8">
        <f>JLCPCB!G33</f>
        <v>232</v>
      </c>
    </row>
    <row r="15" spans="1:7" x14ac:dyDescent="0.3">
      <c r="A15" s="9">
        <v>6</v>
      </c>
      <c r="B15" s="10" t="s">
        <v>25</v>
      </c>
      <c r="C15" s="9" t="s">
        <v>26</v>
      </c>
      <c r="D15" s="9">
        <f>COUNT(Intel!A16:A29)</f>
        <v>1</v>
      </c>
      <c r="E15" s="11">
        <f>Intel!G31</f>
        <v>8060</v>
      </c>
      <c r="F15" s="11">
        <f>Intel!G32</f>
        <v>1289.6000000000001</v>
      </c>
      <c r="G15" s="11">
        <f>Intel!G33</f>
        <v>9349.6</v>
      </c>
    </row>
    <row r="16" spans="1:7" x14ac:dyDescent="0.3">
      <c r="A16" s="6">
        <v>7</v>
      </c>
      <c r="B16" s="7" t="s">
        <v>27</v>
      </c>
      <c r="C16" s="6" t="s">
        <v>28</v>
      </c>
      <c r="D16" s="6">
        <f>COUNT(ZICZNT!A16:A29)</f>
        <v>1</v>
      </c>
      <c r="E16" s="8">
        <f>ZICZNT!G31</f>
        <v>1525.83</v>
      </c>
      <c r="F16" s="8">
        <f>ZICZNT!G32</f>
        <v>244.1328</v>
      </c>
      <c r="G16" s="8">
        <f>ZICZNT!G33</f>
        <v>1769.9628</v>
      </c>
    </row>
    <row r="17" spans="1:7" x14ac:dyDescent="0.3">
      <c r="A17" s="9">
        <v>8</v>
      </c>
      <c r="B17" s="10" t="s">
        <v>29</v>
      </c>
      <c r="C17" s="9" t="s">
        <v>30</v>
      </c>
      <c r="D17" s="9">
        <f>COUNT(SanDoRobotics!A16:A29)</f>
        <v>1</v>
      </c>
      <c r="E17" s="11">
        <f>SanDoRobotics!G31</f>
        <v>12960</v>
      </c>
      <c r="F17" s="11">
        <f>SanDoRobotics!G32</f>
        <v>2073.6</v>
      </c>
      <c r="G17" s="11">
        <f>SanDoRobotics!G33</f>
        <v>15033.6</v>
      </c>
    </row>
    <row r="18" spans="1:7" x14ac:dyDescent="0.3">
      <c r="A18" s="6">
        <v>9</v>
      </c>
      <c r="B18" s="7" t="s">
        <v>31</v>
      </c>
      <c r="C18" s="6" t="s">
        <v>32</v>
      </c>
      <c r="D18" s="6">
        <f>COUNT(Mexbit!A16:A29)</f>
        <v>8</v>
      </c>
      <c r="E18" s="8">
        <f>Mexbit!G31</f>
        <v>290</v>
      </c>
      <c r="F18" s="8">
        <f>Mexbit!G32</f>
        <v>46.4</v>
      </c>
      <c r="G18" s="8">
        <f>Mexbit!G33</f>
        <v>336.4</v>
      </c>
    </row>
    <row r="19" spans="1:7" x14ac:dyDescent="0.3">
      <c r="A19" s="9">
        <v>10</v>
      </c>
      <c r="B19" s="10" t="s">
        <v>33</v>
      </c>
      <c r="C19" s="9" t="s">
        <v>34</v>
      </c>
      <c r="D19" s="9">
        <f>COUNT('Elf te Motor-Steadywin Official'!A16:A29)</f>
        <v>2</v>
      </c>
      <c r="E19" s="11">
        <f>'Elf te Motor-Steadywin Official'!G31</f>
        <v>3156.8999999999996</v>
      </c>
      <c r="F19" s="11">
        <f>'Elf te Motor-Steadywin Official'!G32</f>
        <v>505.10399999999993</v>
      </c>
      <c r="G19" s="11">
        <f>'Elf te Motor-Steadywin Official'!G33</f>
        <v>3662.0039999999995</v>
      </c>
    </row>
    <row r="20" spans="1:7" x14ac:dyDescent="0.3">
      <c r="A20" s="6">
        <v>11</v>
      </c>
      <c r="B20" s="7" t="s">
        <v>35</v>
      </c>
      <c r="C20" s="6" t="s">
        <v>36</v>
      </c>
      <c r="D20" s="6">
        <f>COUNT(Steren!A16:A29)</f>
        <v>1</v>
      </c>
      <c r="E20" s="8">
        <f>Steren!G31</f>
        <v>199</v>
      </c>
      <c r="F20" s="8">
        <f>Steren!G32</f>
        <v>31.84</v>
      </c>
      <c r="G20" s="8">
        <f>Steren!G33</f>
        <v>230.84</v>
      </c>
    </row>
    <row r="21" spans="1:7" x14ac:dyDescent="0.3">
      <c r="A21" s="9">
        <v>12</v>
      </c>
      <c r="B21" s="10" t="s">
        <v>37</v>
      </c>
      <c r="C21" s="9" t="s">
        <v>38</v>
      </c>
      <c r="D21" s="9">
        <f>COUNT('Mar China'!A16:A29)</f>
        <v>1</v>
      </c>
      <c r="E21" s="11">
        <f>'Mar China'!G31</f>
        <v>2720.88</v>
      </c>
      <c r="F21" s="11">
        <f>'Mar China'!G32</f>
        <v>435.3408</v>
      </c>
      <c r="G21" s="11">
        <f>'Mar China'!G33</f>
        <v>3156.2208000000001</v>
      </c>
    </row>
    <row r="22" spans="1:7" x14ac:dyDescent="0.3">
      <c r="A22" s="6">
        <v>13</v>
      </c>
      <c r="B22" s="7" t="s">
        <v>39</v>
      </c>
      <c r="C22" s="6" t="s">
        <v>40</v>
      </c>
      <c r="D22" s="6">
        <f>COUNT(Lizar!A16:A29)</f>
        <v>1</v>
      </c>
      <c r="E22" s="8">
        <f>Lizar!G31</f>
        <v>200</v>
      </c>
      <c r="F22" s="8">
        <f>Lizar!G32</f>
        <v>32</v>
      </c>
      <c r="G22" s="8">
        <f>Lizar!G33</f>
        <v>232</v>
      </c>
    </row>
    <row r="23" spans="1:7" x14ac:dyDescent="0.3">
      <c r="A23" s="12"/>
      <c r="B23" s="13" t="s">
        <v>41</v>
      </c>
      <c r="C23" s="12"/>
      <c r="D23" s="14">
        <f>SUM(D10:D22)</f>
        <v>30</v>
      </c>
      <c r="E23" s="15">
        <f>SUM(E10:E22)</f>
        <v>52470.659999999996</v>
      </c>
      <c r="F23" s="15">
        <f>SUM(F10:F22)</f>
        <v>8395.3056000000015</v>
      </c>
      <c r="G23" s="15">
        <f>SUM(G10:G22)</f>
        <v>60865.965600000003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topLeftCell="M1" workbookViewId="0">
      <selection activeCell="R21" sqref="R21"/>
    </sheetView>
  </sheetViews>
  <sheetFormatPr baseColWidth="10" defaultColWidth="8.88671875" defaultRowHeight="14.4" x14ac:dyDescent="0.3"/>
  <cols>
    <col min="1" max="1" width="50" customWidth="1"/>
    <col min="2" max="2" width="18" customWidth="1"/>
    <col min="3" max="3" width="35" customWidth="1"/>
    <col min="4" max="4" width="41" customWidth="1"/>
    <col min="5" max="5" width="29" customWidth="1"/>
    <col min="6" max="6" width="13" customWidth="1"/>
    <col min="7" max="7" width="17" customWidth="1"/>
    <col min="8" max="8" width="23" customWidth="1"/>
    <col min="9" max="10" width="18" customWidth="1"/>
    <col min="11" max="11" width="601" customWidth="1"/>
    <col min="12" max="12" width="726" customWidth="1"/>
    <col min="13" max="13" width="20" customWidth="1"/>
    <col min="14" max="14" width="21" customWidth="1"/>
    <col min="15" max="15" width="14" customWidth="1"/>
  </cols>
  <sheetData>
    <row r="1" spans="1:15" ht="34.950000000000003" customHeight="1" x14ac:dyDescent="0.3">
      <c r="A1" s="38" t="s">
        <v>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25.05" customHeight="1" x14ac:dyDescent="0.3">
      <c r="A2" s="16" t="s">
        <v>43</v>
      </c>
      <c r="B2" s="16" t="s">
        <v>44</v>
      </c>
      <c r="C2" s="16" t="s">
        <v>45</v>
      </c>
      <c r="D2" s="16" t="s">
        <v>9</v>
      </c>
      <c r="E2" s="16" t="s">
        <v>46</v>
      </c>
      <c r="F2" s="16" t="s">
        <v>47</v>
      </c>
      <c r="G2" s="16" t="s">
        <v>48</v>
      </c>
      <c r="H2" s="16" t="s">
        <v>49</v>
      </c>
      <c r="I2" s="16" t="s">
        <v>50</v>
      </c>
      <c r="J2" s="16" t="s">
        <v>51</v>
      </c>
      <c r="K2" s="16" t="s">
        <v>52</v>
      </c>
      <c r="L2" s="16" t="s">
        <v>53</v>
      </c>
      <c r="M2" s="16" t="s">
        <v>54</v>
      </c>
      <c r="N2" s="16" t="s">
        <v>55</v>
      </c>
      <c r="O2" s="16" t="s">
        <v>56</v>
      </c>
    </row>
    <row r="3" spans="1:15" x14ac:dyDescent="0.3">
      <c r="A3" s="6" t="s">
        <v>57</v>
      </c>
      <c r="B3" s="6" t="s">
        <v>57</v>
      </c>
      <c r="C3" s="7" t="s">
        <v>58</v>
      </c>
      <c r="D3" s="7" t="s">
        <v>15</v>
      </c>
      <c r="E3" s="7" t="s">
        <v>59</v>
      </c>
      <c r="F3" s="6">
        <v>6</v>
      </c>
      <c r="G3" s="6" t="s">
        <v>60</v>
      </c>
      <c r="H3" s="8">
        <v>600</v>
      </c>
      <c r="I3" s="6" t="s">
        <v>61</v>
      </c>
      <c r="J3" s="6" t="s">
        <v>62</v>
      </c>
      <c r="K3" s="7" t="s">
        <v>63</v>
      </c>
      <c r="L3" s="6" t="s">
        <v>64</v>
      </c>
      <c r="M3" s="6" t="s">
        <v>65</v>
      </c>
      <c r="N3" s="6" t="s">
        <v>66</v>
      </c>
      <c r="O3" s="6" t="s">
        <v>67</v>
      </c>
    </row>
    <row r="4" spans="1:15" x14ac:dyDescent="0.3">
      <c r="A4" s="9" t="s">
        <v>68</v>
      </c>
      <c r="B4" s="9" t="s">
        <v>57</v>
      </c>
      <c r="C4" s="10" t="s">
        <v>69</v>
      </c>
      <c r="D4" s="10" t="s">
        <v>17</v>
      </c>
      <c r="E4" s="10" t="s">
        <v>70</v>
      </c>
      <c r="F4" s="9">
        <v>1</v>
      </c>
      <c r="G4" s="9" t="s">
        <v>71</v>
      </c>
      <c r="H4" s="11">
        <v>472</v>
      </c>
      <c r="I4" s="9" t="s">
        <v>72</v>
      </c>
      <c r="J4" s="9" t="s">
        <v>62</v>
      </c>
      <c r="K4" s="10" t="s">
        <v>73</v>
      </c>
      <c r="L4" s="9" t="s">
        <v>74</v>
      </c>
      <c r="M4" s="9" t="s">
        <v>65</v>
      </c>
      <c r="N4" s="9" t="s">
        <v>75</v>
      </c>
      <c r="O4" s="9" t="s">
        <v>67</v>
      </c>
    </row>
    <row r="5" spans="1:15" x14ac:dyDescent="0.3">
      <c r="A5" s="6" t="s">
        <v>76</v>
      </c>
      <c r="B5" s="6" t="s">
        <v>57</v>
      </c>
      <c r="C5" s="7" t="s">
        <v>77</v>
      </c>
      <c r="D5" s="7" t="s">
        <v>19</v>
      </c>
      <c r="E5" s="7" t="s">
        <v>78</v>
      </c>
      <c r="F5" s="6">
        <v>4</v>
      </c>
      <c r="G5" s="6" t="s">
        <v>79</v>
      </c>
      <c r="H5" s="8">
        <v>2575.6</v>
      </c>
      <c r="I5" s="6" t="s">
        <v>80</v>
      </c>
      <c r="J5" s="6" t="s">
        <v>81</v>
      </c>
      <c r="K5" s="7" t="s">
        <v>82</v>
      </c>
      <c r="L5" s="6" t="s">
        <v>83</v>
      </c>
      <c r="M5" s="6" t="s">
        <v>65</v>
      </c>
      <c r="N5" s="6" t="s">
        <v>75</v>
      </c>
      <c r="O5" s="6" t="s">
        <v>67</v>
      </c>
    </row>
    <row r="6" spans="1:15" x14ac:dyDescent="0.3">
      <c r="A6" s="9" t="s">
        <v>84</v>
      </c>
      <c r="B6" s="9" t="s">
        <v>57</v>
      </c>
      <c r="C6" s="10" t="s">
        <v>85</v>
      </c>
      <c r="D6" s="10" t="s">
        <v>21</v>
      </c>
      <c r="E6" s="10" t="s">
        <v>86</v>
      </c>
      <c r="F6" s="9">
        <v>1</v>
      </c>
      <c r="G6" s="9" t="s">
        <v>79</v>
      </c>
      <c r="H6" s="11">
        <v>1017.45</v>
      </c>
      <c r="I6" s="9" t="s">
        <v>87</v>
      </c>
      <c r="J6" s="9" t="s">
        <v>88</v>
      </c>
      <c r="K6" s="10" t="s">
        <v>89</v>
      </c>
      <c r="L6" s="9" t="s">
        <v>90</v>
      </c>
      <c r="M6" s="9" t="s">
        <v>65</v>
      </c>
      <c r="N6" s="9" t="s">
        <v>75</v>
      </c>
      <c r="O6" s="9" t="s">
        <v>67</v>
      </c>
    </row>
    <row r="7" spans="1:15" x14ac:dyDescent="0.3">
      <c r="A7" s="6" t="s">
        <v>91</v>
      </c>
      <c r="B7" s="6" t="s">
        <v>57</v>
      </c>
      <c r="C7" s="7" t="s">
        <v>92</v>
      </c>
      <c r="D7" s="7" t="s">
        <v>23</v>
      </c>
      <c r="E7" s="7" t="s">
        <v>93</v>
      </c>
      <c r="F7" s="6">
        <v>2</v>
      </c>
      <c r="G7" s="6" t="s">
        <v>79</v>
      </c>
      <c r="H7" s="8">
        <v>200</v>
      </c>
      <c r="I7" s="6" t="s">
        <v>94</v>
      </c>
      <c r="J7" s="6" t="s">
        <v>81</v>
      </c>
      <c r="K7" s="7" t="s">
        <v>95</v>
      </c>
      <c r="L7" s="6" t="s">
        <v>96</v>
      </c>
      <c r="M7" s="6" t="s">
        <v>65</v>
      </c>
      <c r="N7" s="6" t="s">
        <v>75</v>
      </c>
      <c r="O7" s="6" t="s">
        <v>67</v>
      </c>
    </row>
    <row r="8" spans="1:15" x14ac:dyDescent="0.3">
      <c r="A8" s="9" t="s">
        <v>97</v>
      </c>
      <c r="B8" s="9" t="s">
        <v>57</v>
      </c>
      <c r="C8" s="10" t="s">
        <v>98</v>
      </c>
      <c r="D8" s="10" t="s">
        <v>25</v>
      </c>
      <c r="E8" s="10" t="s">
        <v>99</v>
      </c>
      <c r="F8" s="9">
        <v>1</v>
      </c>
      <c r="G8" s="9" t="s">
        <v>79</v>
      </c>
      <c r="H8" s="11">
        <v>8060</v>
      </c>
      <c r="I8" s="9" t="s">
        <v>100</v>
      </c>
      <c r="J8" s="9" t="s">
        <v>62</v>
      </c>
      <c r="K8" s="10" t="s">
        <v>101</v>
      </c>
      <c r="L8" s="9" t="s">
        <v>102</v>
      </c>
      <c r="M8" s="9" t="s">
        <v>65</v>
      </c>
      <c r="N8" s="9" t="s">
        <v>66</v>
      </c>
      <c r="O8" s="9" t="s">
        <v>67</v>
      </c>
    </row>
    <row r="9" spans="1:15" x14ac:dyDescent="0.3">
      <c r="A9" s="6" t="s">
        <v>103</v>
      </c>
      <c r="B9" s="6" t="s">
        <v>57</v>
      </c>
      <c r="C9" s="7" t="s">
        <v>104</v>
      </c>
      <c r="D9" s="7" t="s">
        <v>27</v>
      </c>
      <c r="E9" s="7" t="s">
        <v>105</v>
      </c>
      <c r="F9" s="6">
        <v>1</v>
      </c>
      <c r="G9" s="6" t="s">
        <v>79</v>
      </c>
      <c r="H9" s="8">
        <v>1525.83</v>
      </c>
      <c r="I9" s="6" t="s">
        <v>106</v>
      </c>
      <c r="J9" s="6" t="s">
        <v>81</v>
      </c>
      <c r="K9" s="7" t="s">
        <v>107</v>
      </c>
      <c r="L9" s="6" t="s">
        <v>108</v>
      </c>
      <c r="M9" s="6" t="s">
        <v>65</v>
      </c>
      <c r="N9" s="6" t="s">
        <v>75</v>
      </c>
      <c r="O9" s="6" t="s">
        <v>67</v>
      </c>
    </row>
    <row r="10" spans="1:15" x14ac:dyDescent="0.3">
      <c r="A10" s="9" t="s">
        <v>109</v>
      </c>
      <c r="B10" s="9" t="s">
        <v>57</v>
      </c>
      <c r="C10" s="10" t="s">
        <v>110</v>
      </c>
      <c r="D10" s="10" t="s">
        <v>17</v>
      </c>
      <c r="E10" s="10" t="s">
        <v>111</v>
      </c>
      <c r="F10" s="9">
        <v>1</v>
      </c>
      <c r="G10" s="9" t="s">
        <v>79</v>
      </c>
      <c r="H10" s="11">
        <v>1222</v>
      </c>
      <c r="I10" s="9" t="s">
        <v>72</v>
      </c>
      <c r="J10" s="9" t="s">
        <v>62</v>
      </c>
      <c r="K10" s="10" t="s">
        <v>112</v>
      </c>
      <c r="L10" s="9" t="s">
        <v>113</v>
      </c>
      <c r="M10" s="9" t="s">
        <v>65</v>
      </c>
      <c r="N10" s="9" t="s">
        <v>66</v>
      </c>
      <c r="O10" s="9" t="s">
        <v>67</v>
      </c>
    </row>
    <row r="11" spans="1:15" x14ac:dyDescent="0.3">
      <c r="A11" s="6" t="s">
        <v>114</v>
      </c>
      <c r="B11" s="6" t="s">
        <v>57</v>
      </c>
      <c r="C11" s="7" t="s">
        <v>115</v>
      </c>
      <c r="D11" s="7" t="s">
        <v>29</v>
      </c>
      <c r="E11" s="7" t="s">
        <v>116</v>
      </c>
      <c r="F11" s="6">
        <v>2</v>
      </c>
      <c r="G11" s="6" t="s">
        <v>79</v>
      </c>
      <c r="H11" s="8">
        <v>12960</v>
      </c>
      <c r="I11" s="6" t="s">
        <v>117</v>
      </c>
      <c r="J11" s="6" t="s">
        <v>62</v>
      </c>
      <c r="K11" s="7" t="s">
        <v>118</v>
      </c>
      <c r="L11" s="6" t="s">
        <v>119</v>
      </c>
      <c r="M11" s="6" t="s">
        <v>65</v>
      </c>
      <c r="N11" s="6" t="s">
        <v>66</v>
      </c>
      <c r="O11" s="6" t="s">
        <v>67</v>
      </c>
    </row>
    <row r="12" spans="1:15" x14ac:dyDescent="0.3">
      <c r="A12" s="9" t="s">
        <v>120</v>
      </c>
      <c r="B12" s="9" t="s">
        <v>57</v>
      </c>
      <c r="C12" s="10" t="s">
        <v>121</v>
      </c>
      <c r="D12" s="10" t="s">
        <v>31</v>
      </c>
      <c r="E12" s="10" t="s">
        <v>122</v>
      </c>
      <c r="F12" s="9">
        <v>10</v>
      </c>
      <c r="G12" s="9" t="s">
        <v>79</v>
      </c>
      <c r="H12" s="11">
        <v>20</v>
      </c>
      <c r="I12" s="9" t="s">
        <v>123</v>
      </c>
      <c r="J12" s="9" t="s">
        <v>62</v>
      </c>
      <c r="K12" s="10" t="s">
        <v>124</v>
      </c>
      <c r="L12" s="9" t="s">
        <v>125</v>
      </c>
      <c r="M12" s="9" t="s">
        <v>65</v>
      </c>
      <c r="N12" s="9" t="s">
        <v>66</v>
      </c>
      <c r="O12" s="9" t="s">
        <v>67</v>
      </c>
    </row>
    <row r="13" spans="1:15" x14ac:dyDescent="0.3">
      <c r="A13" s="6" t="s">
        <v>126</v>
      </c>
      <c r="B13" s="6" t="s">
        <v>57</v>
      </c>
      <c r="C13" s="7" t="s">
        <v>127</v>
      </c>
      <c r="D13" s="7" t="s">
        <v>31</v>
      </c>
      <c r="E13" s="7" t="s">
        <v>128</v>
      </c>
      <c r="F13" s="6">
        <v>10</v>
      </c>
      <c r="G13" s="6" t="s">
        <v>79</v>
      </c>
      <c r="H13" s="8">
        <v>80</v>
      </c>
      <c r="I13" s="6" t="s">
        <v>123</v>
      </c>
      <c r="J13" s="6" t="s">
        <v>62</v>
      </c>
      <c r="K13" s="7" t="s">
        <v>124</v>
      </c>
      <c r="L13" s="6" t="s">
        <v>129</v>
      </c>
      <c r="M13" s="6" t="s">
        <v>65</v>
      </c>
      <c r="N13" s="6" t="s">
        <v>66</v>
      </c>
      <c r="O13" s="6" t="s">
        <v>67</v>
      </c>
    </row>
    <row r="14" spans="1:15" x14ac:dyDescent="0.3">
      <c r="A14" s="9" t="s">
        <v>130</v>
      </c>
      <c r="B14" s="9" t="s">
        <v>57</v>
      </c>
      <c r="C14" s="10" t="s">
        <v>131</v>
      </c>
      <c r="D14" s="10" t="s">
        <v>31</v>
      </c>
      <c r="E14" s="10" t="s">
        <v>132</v>
      </c>
      <c r="F14" s="9">
        <v>10</v>
      </c>
      <c r="G14" s="9" t="s">
        <v>79</v>
      </c>
      <c r="H14" s="11">
        <v>30</v>
      </c>
      <c r="I14" s="9" t="s">
        <v>123</v>
      </c>
      <c r="J14" s="9" t="s">
        <v>62</v>
      </c>
      <c r="K14" s="10" t="s">
        <v>124</v>
      </c>
      <c r="L14" s="9" t="s">
        <v>133</v>
      </c>
      <c r="M14" s="9" t="s">
        <v>65</v>
      </c>
      <c r="N14" s="9" t="s">
        <v>66</v>
      </c>
      <c r="O14" s="9" t="s">
        <v>67</v>
      </c>
    </row>
    <row r="15" spans="1:15" x14ac:dyDescent="0.3">
      <c r="A15" s="6" t="s">
        <v>134</v>
      </c>
      <c r="B15" s="6" t="s">
        <v>57</v>
      </c>
      <c r="C15" s="7" t="s">
        <v>135</v>
      </c>
      <c r="D15" s="7" t="s">
        <v>31</v>
      </c>
      <c r="E15" s="7" t="s">
        <v>136</v>
      </c>
      <c r="F15" s="6">
        <v>10</v>
      </c>
      <c r="G15" s="6" t="s">
        <v>79</v>
      </c>
      <c r="H15" s="8">
        <v>40</v>
      </c>
      <c r="I15" s="6" t="s">
        <v>123</v>
      </c>
      <c r="J15" s="6" t="s">
        <v>62</v>
      </c>
      <c r="K15" s="7" t="s">
        <v>124</v>
      </c>
      <c r="L15" s="6" t="s">
        <v>137</v>
      </c>
      <c r="M15" s="6" t="s">
        <v>65</v>
      </c>
      <c r="N15" s="6" t="s">
        <v>66</v>
      </c>
      <c r="O15" s="6" t="s">
        <v>67</v>
      </c>
    </row>
    <row r="16" spans="1:15" x14ac:dyDescent="0.3">
      <c r="A16" s="9" t="s">
        <v>138</v>
      </c>
      <c r="B16" s="9" t="s">
        <v>57</v>
      </c>
      <c r="C16" s="10" t="s">
        <v>139</v>
      </c>
      <c r="D16" s="10" t="s">
        <v>31</v>
      </c>
      <c r="E16" s="10" t="s">
        <v>140</v>
      </c>
      <c r="F16" s="9">
        <v>5</v>
      </c>
      <c r="G16" s="9" t="s">
        <v>141</v>
      </c>
      <c r="H16" s="11">
        <v>30</v>
      </c>
      <c r="I16" s="9" t="s">
        <v>123</v>
      </c>
      <c r="J16" s="9" t="s">
        <v>62</v>
      </c>
      <c r="K16" s="10" t="s">
        <v>124</v>
      </c>
      <c r="L16" s="9" t="s">
        <v>142</v>
      </c>
      <c r="M16" s="9" t="s">
        <v>65</v>
      </c>
      <c r="N16" s="9" t="s">
        <v>66</v>
      </c>
      <c r="O16" s="9" t="s">
        <v>67</v>
      </c>
    </row>
    <row r="17" spans="1:15" x14ac:dyDescent="0.3">
      <c r="A17" s="6" t="s">
        <v>145</v>
      </c>
      <c r="B17" s="6" t="s">
        <v>57</v>
      </c>
      <c r="C17" s="7" t="s">
        <v>143</v>
      </c>
      <c r="D17" s="7" t="s">
        <v>31</v>
      </c>
      <c r="E17" s="7" t="s">
        <v>144</v>
      </c>
      <c r="F17" s="6">
        <v>3</v>
      </c>
      <c r="G17" s="6" t="s">
        <v>141</v>
      </c>
      <c r="H17" s="8">
        <v>30</v>
      </c>
      <c r="I17" s="6" t="s">
        <v>61</v>
      </c>
      <c r="J17" s="6" t="s">
        <v>62</v>
      </c>
      <c r="K17" s="7" t="s">
        <v>124</v>
      </c>
      <c r="L17" s="6" t="s">
        <v>53</v>
      </c>
      <c r="M17" s="6" t="s">
        <v>65</v>
      </c>
      <c r="N17" s="6" t="s">
        <v>66</v>
      </c>
      <c r="O17" s="6" t="s">
        <v>67</v>
      </c>
    </row>
    <row r="18" spans="1:15" x14ac:dyDescent="0.3">
      <c r="A18" s="9" t="s">
        <v>151</v>
      </c>
      <c r="B18" s="9" t="s">
        <v>57</v>
      </c>
      <c r="C18" s="10" t="s">
        <v>146</v>
      </c>
      <c r="D18" s="10" t="s">
        <v>19</v>
      </c>
      <c r="E18" s="10" t="s">
        <v>147</v>
      </c>
      <c r="F18" s="9">
        <v>1</v>
      </c>
      <c r="G18" s="9" t="s">
        <v>79</v>
      </c>
      <c r="H18" s="11">
        <v>4027</v>
      </c>
      <c r="I18" s="9" t="s">
        <v>148</v>
      </c>
      <c r="J18" s="9" t="s">
        <v>81</v>
      </c>
      <c r="K18" s="10" t="s">
        <v>149</v>
      </c>
      <c r="L18" s="9" t="s">
        <v>150</v>
      </c>
      <c r="M18" s="9" t="s">
        <v>65</v>
      </c>
      <c r="N18" s="9" t="s">
        <v>75</v>
      </c>
      <c r="O18" s="9" t="s">
        <v>67</v>
      </c>
    </row>
    <row r="19" spans="1:15" x14ac:dyDescent="0.3">
      <c r="A19" s="6" t="s">
        <v>246</v>
      </c>
      <c r="B19" s="6" t="s">
        <v>57</v>
      </c>
      <c r="C19" s="7" t="s">
        <v>152</v>
      </c>
      <c r="D19" s="7" t="s">
        <v>17</v>
      </c>
      <c r="E19" s="7" t="s">
        <v>153</v>
      </c>
      <c r="F19" s="6">
        <v>5</v>
      </c>
      <c r="G19" s="6" t="s">
        <v>79</v>
      </c>
      <c r="H19" s="8">
        <v>825</v>
      </c>
      <c r="I19" s="6" t="s">
        <v>106</v>
      </c>
      <c r="J19" s="6" t="s">
        <v>81</v>
      </c>
      <c r="K19" s="7" t="s">
        <v>154</v>
      </c>
      <c r="L19" s="6" t="s">
        <v>155</v>
      </c>
      <c r="M19" s="6" t="s">
        <v>65</v>
      </c>
      <c r="N19" s="6" t="s">
        <v>75</v>
      </c>
      <c r="O19" s="6" t="s">
        <v>67</v>
      </c>
    </row>
    <row r="20" spans="1:15" x14ac:dyDescent="0.3">
      <c r="A20" s="9" t="s">
        <v>247</v>
      </c>
      <c r="B20" s="9" t="s">
        <v>57</v>
      </c>
      <c r="C20" s="10" t="s">
        <v>250</v>
      </c>
      <c r="D20" s="10" t="s">
        <v>19</v>
      </c>
      <c r="E20" s="10" t="s">
        <v>253</v>
      </c>
      <c r="F20" s="9">
        <v>1</v>
      </c>
      <c r="G20" s="9" t="s">
        <v>79</v>
      </c>
      <c r="H20" s="11">
        <v>65</v>
      </c>
      <c r="I20" s="9" t="s">
        <v>160</v>
      </c>
      <c r="J20" s="9" t="s">
        <v>81</v>
      </c>
      <c r="K20" s="10" t="s">
        <v>161</v>
      </c>
      <c r="L20" s="9" t="s">
        <v>162</v>
      </c>
      <c r="M20" s="9" t="s">
        <v>65</v>
      </c>
      <c r="N20" s="6" t="s">
        <v>75</v>
      </c>
      <c r="O20" s="9" t="s">
        <v>67</v>
      </c>
    </row>
    <row r="21" spans="1:15" x14ac:dyDescent="0.3">
      <c r="A21" s="6" t="s">
        <v>248</v>
      </c>
      <c r="B21" s="6" t="s">
        <v>57</v>
      </c>
      <c r="C21" s="7" t="s">
        <v>251</v>
      </c>
      <c r="D21" s="7" t="s">
        <v>19</v>
      </c>
      <c r="E21" s="7" t="s">
        <v>254</v>
      </c>
      <c r="F21" s="6">
        <v>4</v>
      </c>
      <c r="G21" s="6" t="s">
        <v>79</v>
      </c>
      <c r="H21" s="8">
        <v>1750</v>
      </c>
      <c r="I21" s="6" t="s">
        <v>166</v>
      </c>
      <c r="J21" s="6" t="s">
        <v>81</v>
      </c>
      <c r="K21" s="7" t="s">
        <v>161</v>
      </c>
      <c r="L21" s="6" t="s">
        <v>167</v>
      </c>
      <c r="M21" s="6" t="s">
        <v>65</v>
      </c>
      <c r="N21" s="6" t="s">
        <v>75</v>
      </c>
      <c r="O21" s="6" t="s">
        <v>67</v>
      </c>
    </row>
    <row r="22" spans="1:15" x14ac:dyDescent="0.3">
      <c r="A22" s="9" t="s">
        <v>249</v>
      </c>
      <c r="B22" s="9" t="s">
        <v>57</v>
      </c>
      <c r="C22" s="10" t="s">
        <v>252</v>
      </c>
      <c r="D22" s="10" t="s">
        <v>19</v>
      </c>
      <c r="E22" s="10" t="s">
        <v>255</v>
      </c>
      <c r="F22" s="9">
        <v>1</v>
      </c>
      <c r="G22" s="9" t="s">
        <v>79</v>
      </c>
      <c r="H22" s="11">
        <v>1500</v>
      </c>
      <c r="I22" s="9" t="s">
        <v>72</v>
      </c>
      <c r="J22" s="9" t="s">
        <v>81</v>
      </c>
      <c r="K22" s="10" t="s">
        <v>73</v>
      </c>
      <c r="L22" s="9" t="s">
        <v>74</v>
      </c>
      <c r="M22" s="9" t="s">
        <v>65</v>
      </c>
      <c r="N22" s="9" t="s">
        <v>75</v>
      </c>
      <c r="O22" s="9" t="s">
        <v>67</v>
      </c>
    </row>
    <row r="23" spans="1:15" x14ac:dyDescent="0.3">
      <c r="A23" s="6" t="s">
        <v>156</v>
      </c>
      <c r="B23" s="6" t="s">
        <v>157</v>
      </c>
      <c r="C23" s="7" t="s">
        <v>158</v>
      </c>
      <c r="D23" s="7" t="s">
        <v>33</v>
      </c>
      <c r="E23" s="7" t="s">
        <v>159</v>
      </c>
      <c r="F23" s="6">
        <v>3</v>
      </c>
      <c r="G23" s="6" t="s">
        <v>79</v>
      </c>
      <c r="H23" s="52">
        <v>1706.7</v>
      </c>
      <c r="I23" s="6" t="s">
        <v>160</v>
      </c>
      <c r="J23" s="6" t="s">
        <v>81</v>
      </c>
      <c r="K23" s="7" t="s">
        <v>161</v>
      </c>
      <c r="L23" s="6" t="s">
        <v>162</v>
      </c>
      <c r="M23" s="6" t="s">
        <v>65</v>
      </c>
      <c r="N23" s="6" t="s">
        <v>75</v>
      </c>
      <c r="O23" s="6" t="s">
        <v>67</v>
      </c>
    </row>
    <row r="24" spans="1:15" x14ac:dyDescent="0.3">
      <c r="A24" s="9" t="s">
        <v>163</v>
      </c>
      <c r="B24" s="9" t="s">
        <v>157</v>
      </c>
      <c r="C24" s="10" t="s">
        <v>164</v>
      </c>
      <c r="D24" s="10" t="s">
        <v>33</v>
      </c>
      <c r="E24" s="10" t="s">
        <v>165</v>
      </c>
      <c r="F24" s="9">
        <v>3</v>
      </c>
      <c r="G24" s="9" t="s">
        <v>79</v>
      </c>
      <c r="H24" s="53">
        <v>1450.2</v>
      </c>
      <c r="I24" s="9" t="s">
        <v>166</v>
      </c>
      <c r="J24" s="9" t="s">
        <v>81</v>
      </c>
      <c r="K24" s="10" t="s">
        <v>161</v>
      </c>
      <c r="L24" s="9" t="s">
        <v>167</v>
      </c>
      <c r="M24" s="9" t="s">
        <v>65</v>
      </c>
      <c r="N24" s="6" t="s">
        <v>75</v>
      </c>
      <c r="O24" s="9" t="s">
        <v>67</v>
      </c>
    </row>
    <row r="25" spans="1:15" x14ac:dyDescent="0.3">
      <c r="A25" s="6" t="s">
        <v>168</v>
      </c>
      <c r="B25" s="6" t="s">
        <v>157</v>
      </c>
      <c r="C25" s="7" t="s">
        <v>69</v>
      </c>
      <c r="D25" s="7" t="s">
        <v>17</v>
      </c>
      <c r="E25" s="7" t="s">
        <v>70</v>
      </c>
      <c r="F25" s="6">
        <v>3</v>
      </c>
      <c r="G25" s="6" t="s">
        <v>71</v>
      </c>
      <c r="H25" s="52">
        <v>1260</v>
      </c>
      <c r="I25" s="6" t="s">
        <v>72</v>
      </c>
      <c r="J25" s="6" t="s">
        <v>62</v>
      </c>
      <c r="K25" s="7" t="s">
        <v>73</v>
      </c>
      <c r="L25" s="6" t="s">
        <v>74</v>
      </c>
      <c r="M25" s="6" t="s">
        <v>65</v>
      </c>
      <c r="N25" s="9" t="s">
        <v>75</v>
      </c>
      <c r="O25" s="6" t="s">
        <v>67</v>
      </c>
    </row>
    <row r="26" spans="1:15" x14ac:dyDescent="0.3">
      <c r="A26" s="9" t="s">
        <v>169</v>
      </c>
      <c r="B26" s="9" t="s">
        <v>157</v>
      </c>
      <c r="C26" s="10" t="s">
        <v>170</v>
      </c>
      <c r="D26" s="10" t="s">
        <v>35</v>
      </c>
      <c r="E26" s="10" t="s">
        <v>171</v>
      </c>
      <c r="F26" s="9">
        <v>1</v>
      </c>
      <c r="G26" s="9" t="s">
        <v>79</v>
      </c>
      <c r="H26" s="53">
        <v>199</v>
      </c>
      <c r="I26" s="9" t="s">
        <v>123</v>
      </c>
      <c r="J26" s="9" t="s">
        <v>62</v>
      </c>
      <c r="K26" s="10" t="s">
        <v>172</v>
      </c>
      <c r="L26" s="9" t="s">
        <v>173</v>
      </c>
      <c r="M26" s="9" t="s">
        <v>65</v>
      </c>
      <c r="N26" s="6" t="s">
        <v>66</v>
      </c>
      <c r="O26" s="9" t="s">
        <v>67</v>
      </c>
    </row>
    <row r="27" spans="1:15" x14ac:dyDescent="0.3">
      <c r="A27" s="6" t="s">
        <v>174</v>
      </c>
      <c r="B27" s="6" t="s">
        <v>157</v>
      </c>
      <c r="C27" s="7" t="s">
        <v>139</v>
      </c>
      <c r="D27" s="7" t="s">
        <v>31</v>
      </c>
      <c r="E27" s="7" t="s">
        <v>140</v>
      </c>
      <c r="F27" s="6">
        <v>5</v>
      </c>
      <c r="G27" s="6" t="s">
        <v>141</v>
      </c>
      <c r="H27" s="52">
        <v>30</v>
      </c>
      <c r="I27" s="6" t="s">
        <v>123</v>
      </c>
      <c r="J27" s="6" t="s">
        <v>62</v>
      </c>
      <c r="K27" s="7" t="s">
        <v>124</v>
      </c>
      <c r="L27" s="6" t="s">
        <v>142</v>
      </c>
      <c r="M27" s="6" t="s">
        <v>65</v>
      </c>
      <c r="N27" s="9" t="s">
        <v>66</v>
      </c>
      <c r="O27" s="6" t="s">
        <v>67</v>
      </c>
    </row>
    <row r="28" spans="1:15" x14ac:dyDescent="0.3">
      <c r="A28" s="9" t="s">
        <v>175</v>
      </c>
      <c r="B28" s="9" t="s">
        <v>157</v>
      </c>
      <c r="C28" s="10" t="s">
        <v>143</v>
      </c>
      <c r="D28" s="10" t="s">
        <v>31</v>
      </c>
      <c r="E28" s="10" t="s">
        <v>144</v>
      </c>
      <c r="F28" s="9">
        <v>3</v>
      </c>
      <c r="G28" s="9" t="s">
        <v>141</v>
      </c>
      <c r="H28" s="53">
        <v>30</v>
      </c>
      <c r="I28" s="9" t="s">
        <v>61</v>
      </c>
      <c r="J28" s="9" t="s">
        <v>62</v>
      </c>
      <c r="K28" s="10" t="s">
        <v>176</v>
      </c>
      <c r="L28" s="9" t="s">
        <v>53</v>
      </c>
      <c r="M28" s="9" t="s">
        <v>65</v>
      </c>
      <c r="N28" s="6" t="s">
        <v>66</v>
      </c>
      <c r="O28" s="9" t="s">
        <v>67</v>
      </c>
    </row>
    <row r="29" spans="1:15" x14ac:dyDescent="0.3">
      <c r="A29" s="6" t="s">
        <v>177</v>
      </c>
      <c r="B29" s="6" t="s">
        <v>157</v>
      </c>
      <c r="C29" s="7" t="s">
        <v>178</v>
      </c>
      <c r="D29" s="7" t="s">
        <v>15</v>
      </c>
      <c r="E29" s="7" t="s">
        <v>179</v>
      </c>
      <c r="F29" s="6">
        <v>1</v>
      </c>
      <c r="G29" s="6" t="s">
        <v>71</v>
      </c>
      <c r="H29" s="52">
        <v>28</v>
      </c>
      <c r="I29" s="6" t="s">
        <v>61</v>
      </c>
      <c r="J29" s="6" t="s">
        <v>62</v>
      </c>
      <c r="K29" s="7" t="s">
        <v>63</v>
      </c>
      <c r="L29" s="6" t="s">
        <v>180</v>
      </c>
      <c r="M29" s="6" t="s">
        <v>65</v>
      </c>
      <c r="N29" s="9" t="s">
        <v>66</v>
      </c>
      <c r="O29" s="6" t="s">
        <v>67</v>
      </c>
    </row>
    <row r="30" spans="1:15" x14ac:dyDescent="0.3">
      <c r="A30" s="9" t="s">
        <v>181</v>
      </c>
      <c r="B30" s="9" t="s">
        <v>157</v>
      </c>
      <c r="C30" s="10" t="s">
        <v>182</v>
      </c>
      <c r="D30" s="10" t="s">
        <v>37</v>
      </c>
      <c r="E30" s="10" t="s">
        <v>183</v>
      </c>
      <c r="F30" s="9">
        <v>4</v>
      </c>
      <c r="G30" s="9" t="s">
        <v>184</v>
      </c>
      <c r="H30" s="53">
        <v>2720.88</v>
      </c>
      <c r="I30" s="9" t="s">
        <v>61</v>
      </c>
      <c r="J30" s="9" t="s">
        <v>62</v>
      </c>
      <c r="K30" s="10" t="s">
        <v>185</v>
      </c>
      <c r="L30" s="9" t="s">
        <v>186</v>
      </c>
      <c r="M30" s="9" t="s">
        <v>65</v>
      </c>
      <c r="N30" s="6" t="s">
        <v>66</v>
      </c>
      <c r="O30" s="9" t="s">
        <v>67</v>
      </c>
    </row>
    <row r="31" spans="1:15" x14ac:dyDescent="0.3">
      <c r="A31" s="6" t="s">
        <v>187</v>
      </c>
      <c r="B31" s="6" t="s">
        <v>157</v>
      </c>
      <c r="C31" s="7" t="s">
        <v>188</v>
      </c>
      <c r="D31" s="7" t="s">
        <v>39</v>
      </c>
      <c r="E31" s="7" t="s">
        <v>189</v>
      </c>
      <c r="F31" s="6">
        <v>40</v>
      </c>
      <c r="G31" s="6" t="s">
        <v>79</v>
      </c>
      <c r="H31" s="52">
        <v>200</v>
      </c>
      <c r="I31" s="6" t="s">
        <v>61</v>
      </c>
      <c r="J31" s="6" t="s">
        <v>62</v>
      </c>
      <c r="K31" s="7" t="s">
        <v>190</v>
      </c>
      <c r="L31" s="6" t="s">
        <v>191</v>
      </c>
      <c r="M31" s="6" t="s">
        <v>65</v>
      </c>
      <c r="N31" s="9" t="s">
        <v>66</v>
      </c>
      <c r="O31" s="6" t="s">
        <v>67</v>
      </c>
    </row>
    <row r="32" spans="1:15" x14ac:dyDescent="0.3">
      <c r="A32" s="9" t="s">
        <v>192</v>
      </c>
      <c r="B32" s="9" t="s">
        <v>157</v>
      </c>
      <c r="C32" s="10" t="s">
        <v>193</v>
      </c>
      <c r="D32" s="10" t="s">
        <v>17</v>
      </c>
      <c r="E32" s="10" t="s">
        <v>194</v>
      </c>
      <c r="F32" s="9">
        <v>1</v>
      </c>
      <c r="G32" s="9" t="s">
        <v>79</v>
      </c>
      <c r="H32" s="53">
        <v>2566</v>
      </c>
      <c r="I32" s="9" t="s">
        <v>195</v>
      </c>
      <c r="J32" s="9" t="s">
        <v>196</v>
      </c>
      <c r="K32" s="9" t="s">
        <v>197</v>
      </c>
      <c r="L32" s="9" t="s">
        <v>198</v>
      </c>
      <c r="M32" s="9" t="s">
        <v>65</v>
      </c>
      <c r="N32" s="6" t="s">
        <v>75</v>
      </c>
      <c r="O32" s="9" t="s">
        <v>67</v>
      </c>
    </row>
    <row r="33" spans="1:15" ht="15" thickBot="1" x14ac:dyDescent="0.35">
      <c r="A33" s="12"/>
      <c r="B33" s="12"/>
      <c r="C33" s="13" t="s">
        <v>199</v>
      </c>
      <c r="D33" s="12"/>
      <c r="E33" s="12"/>
      <c r="F33" s="12"/>
      <c r="G33" s="12"/>
      <c r="H33" s="15">
        <f>SUM(H6:H32)</f>
        <v>43573.05999999999</v>
      </c>
      <c r="I33" s="12"/>
      <c r="J33" s="12"/>
      <c r="K33" s="12"/>
      <c r="L33" s="12"/>
      <c r="M33" s="12"/>
      <c r="N33" s="12"/>
      <c r="O33" s="12"/>
    </row>
    <row r="34" spans="1:15" ht="15" thickTop="1" x14ac:dyDescent="0.3"/>
  </sheetData>
  <mergeCells count="1">
    <mergeCell ref="A1:O1"/>
  </mergeCells>
  <phoneticPr fontId="15" type="noConversion"/>
  <conditionalFormatting sqref="N3:N32">
    <cfRule type="cellIs" dxfId="5" priority="1" stopIfTrue="1" operator="equal">
      <formula>"Alto"</formula>
    </cfRule>
    <cfRule type="cellIs" dxfId="4" priority="2" stopIfTrue="1" operator="equal">
      <formula>"Medio"</formula>
    </cfRule>
    <cfRule type="cellIs" dxfId="3" priority="3" stopIfTrue="1" operator="equal">
      <formula>"Bajo"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topLeftCell="A4" workbookViewId="0">
      <selection activeCell="I8" sqref="I8:J11"/>
    </sheetView>
  </sheetViews>
  <sheetFormatPr baseColWidth="10" defaultColWidth="8.88671875" defaultRowHeight="14.4" x14ac:dyDescent="0.3"/>
  <cols>
    <col min="1" max="1" width="58" customWidth="1"/>
    <col min="2" max="2" width="29" customWidth="1"/>
    <col min="3" max="3" width="30" customWidth="1"/>
    <col min="4" max="4" width="13" customWidth="1"/>
    <col min="5" max="5" width="14" customWidth="1"/>
    <col min="6" max="6" width="34" customWidth="1"/>
    <col min="7" max="7" width="17" customWidth="1"/>
    <col min="9" max="9" width="15.44140625" bestFit="1" customWidth="1"/>
  </cols>
  <sheetData>
    <row r="1" spans="1:10" x14ac:dyDescent="0.3">
      <c r="A1" s="40" t="s">
        <v>200</v>
      </c>
      <c r="B1" s="36"/>
      <c r="C1" s="36"/>
      <c r="D1" s="36"/>
      <c r="E1" s="36"/>
      <c r="F1" s="36"/>
      <c r="G1" s="36"/>
    </row>
    <row r="2" spans="1:10" x14ac:dyDescent="0.3">
      <c r="A2" s="36"/>
      <c r="B2" s="36"/>
      <c r="C2" s="36"/>
      <c r="D2" s="36"/>
      <c r="E2" s="36"/>
      <c r="F2" s="36"/>
      <c r="G2" s="36"/>
    </row>
    <row r="3" spans="1:10" x14ac:dyDescent="0.3">
      <c r="A3" s="17"/>
      <c r="B3" s="17"/>
      <c r="C3" s="17"/>
      <c r="D3" s="17"/>
      <c r="E3" s="17"/>
      <c r="F3" s="17"/>
      <c r="G3" s="17"/>
    </row>
    <row r="4" spans="1:10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16</v>
      </c>
    </row>
    <row r="5" spans="1:10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10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10" x14ac:dyDescent="0.3">
      <c r="A7" s="17"/>
      <c r="B7" s="17"/>
      <c r="C7" s="17"/>
      <c r="D7" s="17"/>
      <c r="E7" s="17"/>
      <c r="F7" s="17"/>
      <c r="G7" s="17"/>
    </row>
    <row r="8" spans="1:10" x14ac:dyDescent="0.3">
      <c r="A8" s="39" t="s">
        <v>210</v>
      </c>
      <c r="B8" s="36"/>
      <c r="C8" s="36"/>
      <c r="D8" s="17"/>
      <c r="E8" s="39" t="s">
        <v>211</v>
      </c>
      <c r="F8" s="36"/>
      <c r="G8" s="36"/>
      <c r="I8" s="44" t="s">
        <v>241</v>
      </c>
      <c r="J8" s="44"/>
    </row>
    <row r="9" spans="1:10" x14ac:dyDescent="0.3">
      <c r="A9" s="19" t="s">
        <v>212</v>
      </c>
      <c r="B9" s="18" t="s">
        <v>15</v>
      </c>
      <c r="C9" s="17"/>
      <c r="D9" s="17"/>
      <c r="E9" s="19" t="s">
        <v>212</v>
      </c>
      <c r="F9" s="18" t="s">
        <v>201</v>
      </c>
      <c r="G9" s="17"/>
      <c r="I9" s="18" t="s">
        <v>242</v>
      </c>
      <c r="J9" s="48"/>
    </row>
    <row r="10" spans="1:10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  <c r="I10" s="18" t="s">
        <v>243</v>
      </c>
      <c r="J10" s="49"/>
    </row>
    <row r="11" spans="1:10" x14ac:dyDescent="0.3">
      <c r="A11" s="19" t="s">
        <v>216</v>
      </c>
      <c r="B11" s="17" t="s">
        <v>217</v>
      </c>
      <c r="C11" s="17"/>
      <c r="D11" s="17"/>
      <c r="E11" s="19" t="s">
        <v>216</v>
      </c>
      <c r="F11" s="17" t="s">
        <v>218</v>
      </c>
      <c r="G11" s="17"/>
      <c r="I11" s="18" t="s">
        <v>244</v>
      </c>
      <c r="J11" s="45"/>
    </row>
    <row r="12" spans="1:10" x14ac:dyDescent="0.3">
      <c r="A12" s="19" t="s">
        <v>219</v>
      </c>
      <c r="B12" s="17" t="s">
        <v>63</v>
      </c>
      <c r="C12" s="17"/>
      <c r="D12" s="17"/>
      <c r="E12" s="19" t="s">
        <v>220</v>
      </c>
      <c r="F12" s="17" t="s">
        <v>221</v>
      </c>
      <c r="G12" s="17"/>
    </row>
    <row r="13" spans="1:10" x14ac:dyDescent="0.3">
      <c r="A13" s="17"/>
      <c r="B13" s="17"/>
      <c r="C13" s="17"/>
      <c r="D13" s="17"/>
      <c r="E13" s="17"/>
      <c r="F13" s="17"/>
      <c r="G13" s="17"/>
    </row>
    <row r="14" spans="1:10" x14ac:dyDescent="0.3">
      <c r="A14" s="17"/>
      <c r="B14" s="17"/>
      <c r="C14" s="17"/>
      <c r="D14" s="17"/>
      <c r="E14" s="17"/>
      <c r="F14" s="17"/>
      <c r="G14" s="17"/>
    </row>
    <row r="15" spans="1:10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  <c r="H15" s="47" t="s">
        <v>245</v>
      </c>
    </row>
    <row r="16" spans="1:10" x14ac:dyDescent="0.3">
      <c r="A16" s="22">
        <v>1</v>
      </c>
      <c r="B16" s="23" t="s">
        <v>59</v>
      </c>
      <c r="C16" s="23" t="s">
        <v>58</v>
      </c>
      <c r="D16" s="22">
        <v>6</v>
      </c>
      <c r="E16" s="22" t="s">
        <v>60</v>
      </c>
      <c r="F16" s="24">
        <v>100</v>
      </c>
      <c r="G16" s="24">
        <f>D16*F16</f>
        <v>600</v>
      </c>
      <c r="H16" s="50"/>
    </row>
    <row r="17" spans="1:8" x14ac:dyDescent="0.3">
      <c r="A17" s="25">
        <v>2</v>
      </c>
      <c r="B17" s="26" t="s">
        <v>179</v>
      </c>
      <c r="C17" s="26" t="s">
        <v>178</v>
      </c>
      <c r="D17" s="25">
        <v>1</v>
      </c>
      <c r="E17" s="25" t="s">
        <v>71</v>
      </c>
      <c r="F17" s="27">
        <v>28</v>
      </c>
      <c r="G17" s="27">
        <f>D17*F17</f>
        <v>28</v>
      </c>
      <c r="H17" s="51"/>
    </row>
    <row r="18" spans="1:8" x14ac:dyDescent="0.3">
      <c r="A18" s="28"/>
      <c r="B18" s="28"/>
      <c r="C18" s="28"/>
      <c r="D18" s="22"/>
      <c r="E18" s="28"/>
      <c r="F18" s="28"/>
      <c r="G18" s="29"/>
      <c r="H18" s="29"/>
    </row>
    <row r="19" spans="1:8" x14ac:dyDescent="0.3">
      <c r="A19" s="30"/>
      <c r="B19" s="30"/>
      <c r="C19" s="30"/>
      <c r="D19" s="25"/>
      <c r="E19" s="30"/>
      <c r="F19" s="30"/>
      <c r="G19" s="31"/>
      <c r="H19" s="31"/>
    </row>
    <row r="20" spans="1:8" x14ac:dyDescent="0.3">
      <c r="A20" s="28"/>
      <c r="B20" s="28"/>
      <c r="C20" s="28"/>
      <c r="D20" s="22"/>
      <c r="E20" s="28"/>
      <c r="F20" s="28"/>
      <c r="G20" s="29"/>
      <c r="H20" s="29"/>
    </row>
    <row r="21" spans="1:8" x14ac:dyDescent="0.3">
      <c r="A21" s="30"/>
      <c r="B21" s="30"/>
      <c r="C21" s="30"/>
      <c r="D21" s="25"/>
      <c r="E21" s="30"/>
      <c r="F21" s="30"/>
      <c r="G21" s="31"/>
      <c r="H21" s="31"/>
    </row>
    <row r="22" spans="1:8" x14ac:dyDescent="0.3">
      <c r="A22" s="28"/>
      <c r="B22" s="28"/>
      <c r="C22" s="28"/>
      <c r="D22" s="22"/>
      <c r="E22" s="28"/>
      <c r="F22" s="28"/>
      <c r="G22" s="29"/>
      <c r="H22" s="29"/>
    </row>
    <row r="23" spans="1:8" x14ac:dyDescent="0.3">
      <c r="A23" s="30"/>
      <c r="B23" s="30"/>
      <c r="C23" s="30"/>
      <c r="D23" s="25"/>
      <c r="E23" s="30"/>
      <c r="F23" s="30"/>
      <c r="G23" s="31"/>
      <c r="H23" s="31"/>
    </row>
    <row r="24" spans="1:8" x14ac:dyDescent="0.3">
      <c r="A24" s="28"/>
      <c r="B24" s="28"/>
      <c r="C24" s="28"/>
      <c r="D24" s="22"/>
      <c r="E24" s="28"/>
      <c r="F24" s="28"/>
      <c r="G24" s="29"/>
      <c r="H24" s="29"/>
    </row>
    <row r="25" spans="1:8" x14ac:dyDescent="0.3">
      <c r="A25" s="30"/>
      <c r="B25" s="30"/>
      <c r="C25" s="30"/>
      <c r="D25" s="25"/>
      <c r="E25" s="30"/>
      <c r="F25" s="30"/>
      <c r="G25" s="31"/>
      <c r="H25" s="31"/>
    </row>
    <row r="26" spans="1:8" x14ac:dyDescent="0.3">
      <c r="A26" s="28"/>
      <c r="B26" s="28"/>
      <c r="C26" s="28"/>
      <c r="D26" s="22"/>
      <c r="E26" s="28"/>
      <c r="F26" s="28"/>
      <c r="G26" s="29"/>
      <c r="H26" s="29"/>
    </row>
    <row r="27" spans="1:8" x14ac:dyDescent="0.3">
      <c r="A27" s="30"/>
      <c r="B27" s="30"/>
      <c r="C27" s="30"/>
      <c r="D27" s="25"/>
      <c r="E27" s="30"/>
      <c r="F27" s="30"/>
      <c r="G27" s="31"/>
      <c r="H27" s="31"/>
    </row>
    <row r="28" spans="1:8" x14ac:dyDescent="0.3">
      <c r="A28" s="28"/>
      <c r="B28" s="28"/>
      <c r="C28" s="28"/>
      <c r="D28" s="22"/>
      <c r="E28" s="28"/>
      <c r="F28" s="28"/>
      <c r="G28" s="29"/>
      <c r="H28" s="29"/>
    </row>
    <row r="29" spans="1:8" x14ac:dyDescent="0.3">
      <c r="A29" s="30"/>
      <c r="B29" s="30"/>
      <c r="C29" s="30"/>
      <c r="D29" s="25"/>
      <c r="E29" s="30"/>
      <c r="F29" s="30"/>
      <c r="G29" s="31"/>
      <c r="H29" s="31"/>
    </row>
    <row r="30" spans="1:8" x14ac:dyDescent="0.3">
      <c r="A30" s="17"/>
      <c r="B30" s="17"/>
      <c r="C30" s="17"/>
      <c r="D30" s="17"/>
      <c r="E30" s="17"/>
      <c r="F30" s="17"/>
      <c r="G30" s="17"/>
      <c r="H30" s="17"/>
    </row>
    <row r="31" spans="1:8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628</v>
      </c>
      <c r="H31" s="33"/>
    </row>
    <row r="32" spans="1:8" x14ac:dyDescent="0.3">
      <c r="A32" s="17"/>
      <c r="B32" s="17"/>
      <c r="C32" s="17"/>
      <c r="D32" s="17"/>
      <c r="E32" s="17"/>
      <c r="F32" s="32" t="s">
        <v>228</v>
      </c>
      <c r="G32" s="33">
        <f>G31*0.16</f>
        <v>100.48</v>
      </c>
      <c r="H32" s="33"/>
    </row>
    <row r="33" spans="1:8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728.48</v>
      </c>
      <c r="H33" s="34"/>
    </row>
  </sheetData>
  <mergeCells count="4">
    <mergeCell ref="A8:C8"/>
    <mergeCell ref="E8:G8"/>
    <mergeCell ref="A1:G2"/>
    <mergeCell ref="I8:J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topLeftCell="B1048552" workbookViewId="0">
      <selection activeCell="H15" sqref="H15:H1048576"/>
    </sheetView>
  </sheetViews>
  <sheetFormatPr baseColWidth="10" defaultColWidth="8.88671875" defaultRowHeight="14.4" x14ac:dyDescent="0.3"/>
  <cols>
    <col min="1" max="1" width="58" customWidth="1"/>
    <col min="2" max="2" width="421" customWidth="1"/>
    <col min="3" max="3" width="35" customWidth="1"/>
    <col min="4" max="4" width="13" customWidth="1"/>
    <col min="5" max="5" width="14" customWidth="1"/>
    <col min="6" max="6" width="34" customWidth="1"/>
    <col min="7" max="7" width="17" customWidth="1"/>
    <col min="9" max="9" width="15.44140625" bestFit="1" customWidth="1"/>
  </cols>
  <sheetData>
    <row r="1" spans="1:10" x14ac:dyDescent="0.3">
      <c r="A1" s="40" t="s">
        <v>200</v>
      </c>
      <c r="B1" s="36"/>
      <c r="C1" s="36"/>
      <c r="D1" s="36"/>
      <c r="E1" s="36"/>
      <c r="F1" s="36"/>
      <c r="G1" s="36"/>
    </row>
    <row r="2" spans="1:10" x14ac:dyDescent="0.3">
      <c r="A2" s="36"/>
      <c r="B2" s="36"/>
      <c r="C2" s="36"/>
      <c r="D2" s="36"/>
      <c r="E2" s="36"/>
      <c r="F2" s="36"/>
      <c r="G2" s="36"/>
    </row>
    <row r="3" spans="1:10" x14ac:dyDescent="0.3">
      <c r="A3" s="17"/>
      <c r="B3" s="17"/>
      <c r="C3" s="17"/>
      <c r="D3" s="17"/>
      <c r="E3" s="17"/>
      <c r="F3" s="17"/>
      <c r="G3" s="17"/>
    </row>
    <row r="4" spans="1:10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18</v>
      </c>
    </row>
    <row r="5" spans="1:10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10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10" x14ac:dyDescent="0.3">
      <c r="A7" s="17"/>
      <c r="B7" s="17"/>
      <c r="C7" s="17"/>
      <c r="D7" s="17"/>
      <c r="E7" s="17"/>
      <c r="F7" s="17"/>
      <c r="G7" s="17"/>
    </row>
    <row r="8" spans="1:10" x14ac:dyDescent="0.3">
      <c r="A8" s="39" t="s">
        <v>210</v>
      </c>
      <c r="B8" s="36"/>
      <c r="C8" s="36"/>
      <c r="D8" s="17"/>
      <c r="E8" s="39" t="s">
        <v>211</v>
      </c>
      <c r="F8" s="36"/>
      <c r="G8" s="36"/>
      <c r="I8" s="44" t="s">
        <v>241</v>
      </c>
      <c r="J8" s="44"/>
    </row>
    <row r="9" spans="1:10" x14ac:dyDescent="0.3">
      <c r="A9" s="19" t="s">
        <v>212</v>
      </c>
      <c r="B9" s="18" t="s">
        <v>17</v>
      </c>
      <c r="C9" s="17"/>
      <c r="D9" s="17"/>
      <c r="E9" s="19" t="s">
        <v>212</v>
      </c>
      <c r="F9" s="18" t="s">
        <v>201</v>
      </c>
      <c r="G9" s="17"/>
      <c r="I9" s="18" t="s">
        <v>242</v>
      </c>
      <c r="J9" s="48"/>
    </row>
    <row r="10" spans="1:10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  <c r="I10" s="18" t="s">
        <v>243</v>
      </c>
      <c r="J10" s="49"/>
    </row>
    <row r="11" spans="1:10" x14ac:dyDescent="0.3">
      <c r="A11" s="19" t="s">
        <v>216</v>
      </c>
      <c r="B11" s="17" t="s">
        <v>217</v>
      </c>
      <c r="C11" s="17"/>
      <c r="D11" s="17"/>
      <c r="E11" s="19" t="s">
        <v>216</v>
      </c>
      <c r="F11" s="17" t="s">
        <v>218</v>
      </c>
      <c r="G11" s="17"/>
      <c r="I11" s="18" t="s">
        <v>244</v>
      </c>
      <c r="J11" s="45"/>
    </row>
    <row r="12" spans="1:10" x14ac:dyDescent="0.3">
      <c r="A12" s="19" t="s">
        <v>219</v>
      </c>
      <c r="B12" s="17" t="s">
        <v>73</v>
      </c>
      <c r="C12" s="17"/>
      <c r="D12" s="17"/>
      <c r="E12" s="19" t="s">
        <v>220</v>
      </c>
      <c r="F12" s="17" t="s">
        <v>221</v>
      </c>
      <c r="G12" s="17"/>
    </row>
    <row r="13" spans="1:10" x14ac:dyDescent="0.3">
      <c r="A13" s="17"/>
      <c r="B13" s="17"/>
      <c r="C13" s="17"/>
      <c r="D13" s="17"/>
      <c r="E13" s="17"/>
      <c r="F13" s="17"/>
      <c r="G13" s="17"/>
    </row>
    <row r="14" spans="1:10" x14ac:dyDescent="0.3">
      <c r="A14" s="17"/>
      <c r="B14" s="17"/>
      <c r="C14" s="17"/>
      <c r="D14" s="17"/>
      <c r="E14" s="17"/>
      <c r="F14" s="17"/>
      <c r="G14" s="17"/>
    </row>
    <row r="15" spans="1:10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  <c r="H15" s="47" t="s">
        <v>245</v>
      </c>
    </row>
    <row r="16" spans="1:10" x14ac:dyDescent="0.3">
      <c r="A16" s="22">
        <v>1</v>
      </c>
      <c r="B16" s="23" t="s">
        <v>70</v>
      </c>
      <c r="C16" s="23" t="s">
        <v>69</v>
      </c>
      <c r="D16" s="22">
        <v>1</v>
      </c>
      <c r="E16" s="22" t="s">
        <v>71</v>
      </c>
      <c r="F16" s="24">
        <v>472</v>
      </c>
      <c r="G16" s="24">
        <f>D16*F16</f>
        <v>472</v>
      </c>
      <c r="H16" s="50"/>
    </row>
    <row r="17" spans="1:8" x14ac:dyDescent="0.3">
      <c r="A17" s="25">
        <v>2</v>
      </c>
      <c r="B17" s="26" t="s">
        <v>111</v>
      </c>
      <c r="C17" s="26" t="s">
        <v>110</v>
      </c>
      <c r="D17" s="25">
        <v>1</v>
      </c>
      <c r="E17" s="25" t="s">
        <v>79</v>
      </c>
      <c r="F17" s="27">
        <v>1222</v>
      </c>
      <c r="G17" s="27">
        <f>D17*F17</f>
        <v>1222</v>
      </c>
      <c r="H17" s="51"/>
    </row>
    <row r="18" spans="1:8" x14ac:dyDescent="0.3">
      <c r="A18" s="22">
        <v>3</v>
      </c>
      <c r="B18" s="23" t="s">
        <v>153</v>
      </c>
      <c r="C18" s="23" t="s">
        <v>152</v>
      </c>
      <c r="D18" s="22">
        <v>5</v>
      </c>
      <c r="E18" s="22" t="s">
        <v>79</v>
      </c>
      <c r="F18" s="24">
        <v>165</v>
      </c>
      <c r="G18" s="24">
        <f>D18*F18</f>
        <v>825</v>
      </c>
      <c r="H18" s="51"/>
    </row>
    <row r="19" spans="1:8" x14ac:dyDescent="0.3">
      <c r="A19" s="25">
        <v>4</v>
      </c>
      <c r="B19" s="26" t="s">
        <v>70</v>
      </c>
      <c r="C19" s="26" t="s">
        <v>69</v>
      </c>
      <c r="D19" s="25">
        <v>3</v>
      </c>
      <c r="E19" s="25" t="s">
        <v>71</v>
      </c>
      <c r="F19" s="27">
        <v>420</v>
      </c>
      <c r="G19" s="27">
        <f>D19*F19</f>
        <v>1260</v>
      </c>
      <c r="H19" s="51"/>
    </row>
    <row r="20" spans="1:8" x14ac:dyDescent="0.3">
      <c r="A20" s="22">
        <v>5</v>
      </c>
      <c r="B20" s="23" t="s">
        <v>194</v>
      </c>
      <c r="C20" s="23" t="s">
        <v>193</v>
      </c>
      <c r="D20" s="22">
        <v>1</v>
      </c>
      <c r="E20" s="22" t="s">
        <v>79</v>
      </c>
      <c r="F20" s="24">
        <v>2566</v>
      </c>
      <c r="G20" s="24">
        <f>D20*F20</f>
        <v>2566</v>
      </c>
      <c r="H20" s="51"/>
    </row>
    <row r="21" spans="1:8" x14ac:dyDescent="0.3">
      <c r="A21" s="30"/>
      <c r="B21" s="30"/>
      <c r="C21" s="30"/>
      <c r="D21" s="25"/>
      <c r="E21" s="30"/>
      <c r="F21" s="30"/>
      <c r="G21" s="31"/>
      <c r="H21" s="31"/>
    </row>
    <row r="22" spans="1:8" x14ac:dyDescent="0.3">
      <c r="A22" s="28"/>
      <c r="B22" s="28"/>
      <c r="C22" s="28"/>
      <c r="D22" s="22"/>
      <c r="E22" s="28"/>
      <c r="F22" s="28"/>
      <c r="G22" s="29"/>
      <c r="H22" s="29"/>
    </row>
    <row r="23" spans="1:8" x14ac:dyDescent="0.3">
      <c r="A23" s="30"/>
      <c r="B23" s="30"/>
      <c r="C23" s="30"/>
      <c r="D23" s="25"/>
      <c r="E23" s="30"/>
      <c r="F23" s="30"/>
      <c r="G23" s="31"/>
      <c r="H23" s="31"/>
    </row>
    <row r="24" spans="1:8" x14ac:dyDescent="0.3">
      <c r="A24" s="28"/>
      <c r="B24" s="28"/>
      <c r="C24" s="28"/>
      <c r="D24" s="22"/>
      <c r="E24" s="28"/>
      <c r="F24" s="28"/>
      <c r="G24" s="29"/>
      <c r="H24" s="29"/>
    </row>
    <row r="25" spans="1:8" x14ac:dyDescent="0.3">
      <c r="A25" s="30"/>
      <c r="B25" s="30"/>
      <c r="C25" s="30"/>
      <c r="D25" s="25"/>
      <c r="E25" s="30"/>
      <c r="F25" s="30"/>
      <c r="G25" s="31"/>
      <c r="H25" s="31"/>
    </row>
    <row r="26" spans="1:8" x14ac:dyDescent="0.3">
      <c r="A26" s="28"/>
      <c r="B26" s="28"/>
      <c r="C26" s="28"/>
      <c r="D26" s="22"/>
      <c r="E26" s="28"/>
      <c r="F26" s="28"/>
      <c r="G26" s="29"/>
      <c r="H26" s="29"/>
    </row>
    <row r="27" spans="1:8" x14ac:dyDescent="0.3">
      <c r="A27" s="30"/>
      <c r="B27" s="30"/>
      <c r="C27" s="30"/>
      <c r="D27" s="25"/>
      <c r="E27" s="30"/>
      <c r="F27" s="30"/>
      <c r="G27" s="31"/>
      <c r="H27" s="31"/>
    </row>
    <row r="28" spans="1:8" x14ac:dyDescent="0.3">
      <c r="A28" s="28"/>
      <c r="B28" s="28"/>
      <c r="C28" s="28"/>
      <c r="D28" s="22"/>
      <c r="E28" s="28"/>
      <c r="F28" s="28"/>
      <c r="G28" s="29"/>
      <c r="H28" s="29"/>
    </row>
    <row r="29" spans="1:8" x14ac:dyDescent="0.3">
      <c r="A29" s="30"/>
      <c r="B29" s="30"/>
      <c r="C29" s="30"/>
      <c r="D29" s="25"/>
      <c r="E29" s="30"/>
      <c r="F29" s="30"/>
      <c r="G29" s="31"/>
      <c r="H29" s="31"/>
    </row>
    <row r="30" spans="1:8" x14ac:dyDescent="0.3">
      <c r="A30" s="17"/>
      <c r="B30" s="17"/>
      <c r="C30" s="17"/>
      <c r="D30" s="17"/>
      <c r="E30" s="17"/>
      <c r="F30" s="17"/>
      <c r="G30" s="17"/>
      <c r="H30" s="17"/>
    </row>
    <row r="31" spans="1:8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6345</v>
      </c>
      <c r="H31" s="33"/>
    </row>
    <row r="32" spans="1:8" x14ac:dyDescent="0.3">
      <c r="A32" s="17"/>
      <c r="B32" s="17"/>
      <c r="C32" s="17"/>
      <c r="D32" s="17"/>
      <c r="E32" s="17"/>
      <c r="F32" s="32" t="s">
        <v>228</v>
      </c>
      <c r="G32" s="33">
        <f>G31*0.16</f>
        <v>1015.2</v>
      </c>
      <c r="H32" s="33"/>
    </row>
    <row r="33" spans="1:8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7360.2</v>
      </c>
      <c r="H33" s="34"/>
    </row>
  </sheetData>
  <mergeCells count="4">
    <mergeCell ref="A8:C8"/>
    <mergeCell ref="E8:G8"/>
    <mergeCell ref="A1:G2"/>
    <mergeCell ref="I8:J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topLeftCell="A1048552" workbookViewId="0">
      <selection activeCell="H15" sqref="H15:H1048576"/>
    </sheetView>
  </sheetViews>
  <sheetFormatPr baseColWidth="10" defaultColWidth="8.88671875" defaultRowHeight="14.4" x14ac:dyDescent="0.3"/>
  <cols>
    <col min="1" max="1" width="58" customWidth="1"/>
    <col min="2" max="2" width="29" customWidth="1"/>
    <col min="3" max="3" width="28.33203125" bestFit="1" customWidth="1"/>
    <col min="4" max="4" width="13" customWidth="1"/>
    <col min="5" max="5" width="14" customWidth="1"/>
    <col min="6" max="6" width="34" customWidth="1"/>
    <col min="7" max="7" width="17" customWidth="1"/>
    <col min="9" max="9" width="15.33203125" bestFit="1" customWidth="1"/>
    <col min="10" max="10" width="27.44140625" bestFit="1" customWidth="1"/>
  </cols>
  <sheetData>
    <row r="1" spans="1:11" x14ac:dyDescent="0.3">
      <c r="A1" s="40" t="s">
        <v>200</v>
      </c>
      <c r="B1" s="36"/>
      <c r="C1" s="36"/>
      <c r="D1" s="36"/>
      <c r="E1" s="36"/>
      <c r="F1" s="36"/>
      <c r="G1" s="36"/>
    </row>
    <row r="2" spans="1:11" x14ac:dyDescent="0.3">
      <c r="A2" s="36"/>
      <c r="B2" s="36"/>
      <c r="C2" s="36"/>
      <c r="D2" s="36"/>
      <c r="E2" s="36"/>
      <c r="F2" s="36"/>
      <c r="G2" s="36"/>
    </row>
    <row r="3" spans="1:11" x14ac:dyDescent="0.3">
      <c r="A3" s="17"/>
      <c r="B3" s="17"/>
      <c r="C3" s="17"/>
      <c r="D3" s="17"/>
      <c r="E3" s="17"/>
      <c r="F3" s="17"/>
      <c r="G3" s="17"/>
    </row>
    <row r="4" spans="1:11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20</v>
      </c>
    </row>
    <row r="5" spans="1:11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11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11" x14ac:dyDescent="0.3">
      <c r="A7" s="17"/>
      <c r="B7" s="17"/>
      <c r="C7" s="17"/>
      <c r="D7" s="17"/>
      <c r="E7" s="17"/>
      <c r="F7" s="17"/>
      <c r="G7" s="17"/>
    </row>
    <row r="8" spans="1:11" x14ac:dyDescent="0.3">
      <c r="A8" s="39" t="s">
        <v>210</v>
      </c>
      <c r="B8" s="36"/>
      <c r="C8" s="36"/>
      <c r="D8" s="17"/>
      <c r="E8" s="39" t="s">
        <v>211</v>
      </c>
      <c r="F8" s="36"/>
      <c r="G8" s="36"/>
      <c r="I8" s="44" t="s">
        <v>241</v>
      </c>
      <c r="J8" s="44"/>
      <c r="K8" s="46"/>
    </row>
    <row r="9" spans="1:11" x14ac:dyDescent="0.3">
      <c r="A9" s="19" t="s">
        <v>212</v>
      </c>
      <c r="B9" s="18" t="s">
        <v>19</v>
      </c>
      <c r="C9" s="17"/>
      <c r="D9" s="17"/>
      <c r="E9" s="19" t="s">
        <v>212</v>
      </c>
      <c r="F9" s="18" t="s">
        <v>201</v>
      </c>
      <c r="G9" s="17"/>
      <c r="I9" s="18" t="s">
        <v>242</v>
      </c>
      <c r="J9" s="48"/>
      <c r="K9" s="17"/>
    </row>
    <row r="10" spans="1:11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  <c r="I10" s="18" t="s">
        <v>243</v>
      </c>
      <c r="J10" s="49"/>
      <c r="K10" s="17"/>
    </row>
    <row r="11" spans="1:11" x14ac:dyDescent="0.3">
      <c r="A11" s="19" t="s">
        <v>216</v>
      </c>
      <c r="B11" s="17" t="s">
        <v>232</v>
      </c>
      <c r="C11" s="17"/>
      <c r="D11" s="17"/>
      <c r="E11" s="19" t="s">
        <v>216</v>
      </c>
      <c r="F11" s="17" t="s">
        <v>218</v>
      </c>
      <c r="G11" s="17"/>
      <c r="I11" s="18" t="s">
        <v>244</v>
      </c>
      <c r="J11" s="45"/>
      <c r="K11" s="17"/>
    </row>
    <row r="12" spans="1:11" x14ac:dyDescent="0.3">
      <c r="A12" s="19" t="s">
        <v>219</v>
      </c>
      <c r="B12" s="17" t="s">
        <v>82</v>
      </c>
      <c r="C12" s="17"/>
      <c r="D12" s="17"/>
      <c r="E12" s="19" t="s">
        <v>220</v>
      </c>
      <c r="F12" s="17" t="s">
        <v>221</v>
      </c>
      <c r="G12" s="17"/>
      <c r="I12" s="19"/>
      <c r="J12" s="17"/>
      <c r="K12" s="17"/>
    </row>
    <row r="13" spans="1:11" x14ac:dyDescent="0.3">
      <c r="A13" s="17"/>
      <c r="B13" s="17"/>
      <c r="C13" s="17"/>
      <c r="D13" s="17"/>
      <c r="E13" s="17"/>
      <c r="F13" s="17"/>
      <c r="G13" s="17"/>
    </row>
    <row r="14" spans="1:11" x14ac:dyDescent="0.3">
      <c r="A14" s="17"/>
      <c r="B14" s="17"/>
      <c r="C14" s="17"/>
      <c r="D14" s="17"/>
      <c r="E14" s="17"/>
      <c r="F14" s="17"/>
      <c r="G14" s="17"/>
    </row>
    <row r="15" spans="1:11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  <c r="H15" s="47" t="s">
        <v>245</v>
      </c>
    </row>
    <row r="16" spans="1:11" x14ac:dyDescent="0.3">
      <c r="A16" s="22">
        <v>1</v>
      </c>
      <c r="B16" s="23" t="s">
        <v>78</v>
      </c>
      <c r="C16" s="23" t="s">
        <v>77</v>
      </c>
      <c r="D16" s="22">
        <v>4</v>
      </c>
      <c r="E16" s="22" t="s">
        <v>79</v>
      </c>
      <c r="F16" s="24">
        <v>643.9</v>
      </c>
      <c r="G16" s="24">
        <f>D16*F16</f>
        <v>2575.6</v>
      </c>
      <c r="H16" s="50"/>
    </row>
    <row r="17" spans="1:8" x14ac:dyDescent="0.3">
      <c r="A17" s="25">
        <v>2</v>
      </c>
      <c r="B17" s="26" t="s">
        <v>147</v>
      </c>
      <c r="C17" s="26" t="s">
        <v>146</v>
      </c>
      <c r="D17" s="25">
        <v>1</v>
      </c>
      <c r="E17" s="25" t="s">
        <v>79</v>
      </c>
      <c r="F17" s="27">
        <v>4027</v>
      </c>
      <c r="G17" s="27">
        <f>D17*F17</f>
        <v>4027</v>
      </c>
      <c r="H17" s="50"/>
    </row>
    <row r="18" spans="1:8" x14ac:dyDescent="0.3">
      <c r="A18" s="22">
        <v>3</v>
      </c>
      <c r="B18" s="28" t="s">
        <v>234</v>
      </c>
      <c r="C18" s="28" t="s">
        <v>235</v>
      </c>
      <c r="D18" s="22">
        <v>1</v>
      </c>
      <c r="E18" s="22" t="s">
        <v>79</v>
      </c>
      <c r="F18" s="43">
        <v>65</v>
      </c>
      <c r="G18" s="24">
        <f>D18*F18</f>
        <v>65</v>
      </c>
      <c r="H18" s="50"/>
    </row>
    <row r="19" spans="1:8" x14ac:dyDescent="0.3">
      <c r="A19" s="25">
        <v>4</v>
      </c>
      <c r="B19" s="30" t="s">
        <v>236</v>
      </c>
      <c r="C19" s="41" t="s">
        <v>237</v>
      </c>
      <c r="D19" s="25">
        <v>4</v>
      </c>
      <c r="E19" s="25" t="s">
        <v>79</v>
      </c>
      <c r="F19" s="42">
        <v>1750</v>
      </c>
      <c r="G19" s="27">
        <f>D19*F19</f>
        <v>7000</v>
      </c>
      <c r="H19" s="50"/>
    </row>
    <row r="20" spans="1:8" x14ac:dyDescent="0.3">
      <c r="A20" s="22">
        <v>5</v>
      </c>
      <c r="B20" s="28" t="s">
        <v>238</v>
      </c>
      <c r="C20" s="28" t="s">
        <v>239</v>
      </c>
      <c r="D20" s="22">
        <v>1</v>
      </c>
      <c r="E20" s="22" t="s">
        <v>79</v>
      </c>
      <c r="F20" s="43">
        <v>1500</v>
      </c>
      <c r="G20" s="24">
        <f>D20*F20</f>
        <v>1500</v>
      </c>
      <c r="H20" s="50"/>
    </row>
    <row r="21" spans="1:8" x14ac:dyDescent="0.3">
      <c r="A21" s="25"/>
      <c r="B21" s="30"/>
      <c r="C21" s="30"/>
      <c r="D21" s="25"/>
      <c r="E21" s="30"/>
      <c r="F21" s="30"/>
      <c r="G21" s="31"/>
      <c r="H21" s="31"/>
    </row>
    <row r="22" spans="1:8" x14ac:dyDescent="0.3">
      <c r="A22" s="22"/>
      <c r="B22" s="28"/>
      <c r="C22" s="28"/>
      <c r="D22" s="22"/>
      <c r="E22" s="28"/>
      <c r="F22" s="28"/>
      <c r="G22" s="29"/>
      <c r="H22" s="29"/>
    </row>
    <row r="23" spans="1:8" x14ac:dyDescent="0.3">
      <c r="A23" s="25"/>
      <c r="B23" s="30"/>
      <c r="C23" s="30"/>
      <c r="D23" s="25"/>
      <c r="E23" s="30"/>
      <c r="F23" s="30"/>
      <c r="G23" s="31"/>
      <c r="H23" s="31"/>
    </row>
    <row r="24" spans="1:8" x14ac:dyDescent="0.3">
      <c r="A24" s="22"/>
      <c r="B24" s="28"/>
      <c r="C24" s="28"/>
      <c r="D24" s="22"/>
      <c r="E24" s="28"/>
      <c r="F24" s="28"/>
      <c r="G24" s="29"/>
      <c r="H24" s="29"/>
    </row>
    <row r="25" spans="1:8" x14ac:dyDescent="0.3">
      <c r="A25" s="25"/>
      <c r="B25" s="30"/>
      <c r="C25" s="30"/>
      <c r="D25" s="25"/>
      <c r="E25" s="30"/>
      <c r="F25" s="30"/>
      <c r="G25" s="31"/>
      <c r="H25" s="31"/>
    </row>
    <row r="26" spans="1:8" x14ac:dyDescent="0.3">
      <c r="A26" s="28"/>
      <c r="B26" s="28"/>
      <c r="C26" s="28"/>
      <c r="D26" s="22"/>
      <c r="E26" s="28"/>
      <c r="F26" s="28"/>
      <c r="G26" s="29"/>
      <c r="H26" s="29"/>
    </row>
    <row r="27" spans="1:8" x14ac:dyDescent="0.3">
      <c r="A27" s="30"/>
      <c r="B27" s="30"/>
      <c r="C27" s="30"/>
      <c r="D27" s="25"/>
      <c r="E27" s="30"/>
      <c r="F27" s="30"/>
      <c r="G27" s="31"/>
      <c r="H27" s="31"/>
    </row>
    <row r="28" spans="1:8" x14ac:dyDescent="0.3">
      <c r="A28" s="28"/>
      <c r="B28" s="28"/>
      <c r="C28" s="28"/>
      <c r="D28" s="22"/>
      <c r="E28" s="28"/>
      <c r="F28" s="28"/>
      <c r="G28" s="29"/>
      <c r="H28" s="29"/>
    </row>
    <row r="29" spans="1:8" x14ac:dyDescent="0.3">
      <c r="A29" s="30"/>
      <c r="B29" s="30"/>
      <c r="C29" s="30"/>
      <c r="D29" s="25"/>
      <c r="E29" s="30"/>
      <c r="F29" s="30"/>
      <c r="G29" s="31"/>
      <c r="H29" s="31"/>
    </row>
    <row r="30" spans="1:8" x14ac:dyDescent="0.3">
      <c r="A30" s="17"/>
      <c r="B30" s="17"/>
      <c r="C30" s="17"/>
      <c r="D30" s="17"/>
      <c r="E30" s="17"/>
      <c r="F30" s="17"/>
      <c r="G30" s="17"/>
      <c r="H30" s="17"/>
    </row>
    <row r="31" spans="1:8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15167.6</v>
      </c>
      <c r="H31" s="33"/>
    </row>
    <row r="32" spans="1:8" x14ac:dyDescent="0.3">
      <c r="A32" s="17"/>
      <c r="B32" s="17"/>
      <c r="C32" s="17"/>
      <c r="D32" s="17"/>
      <c r="E32" s="17"/>
      <c r="F32" s="32" t="s">
        <v>228</v>
      </c>
      <c r="G32" s="33">
        <f>G31*0.16</f>
        <v>2426.8160000000003</v>
      </c>
      <c r="H32" s="33"/>
    </row>
    <row r="33" spans="1:8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17594.416000000001</v>
      </c>
      <c r="H33" s="34"/>
    </row>
  </sheetData>
  <mergeCells count="4">
    <mergeCell ref="A8:C8"/>
    <mergeCell ref="E8:G8"/>
    <mergeCell ref="A1:G2"/>
    <mergeCell ref="I8:J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workbookViewId="0">
      <selection activeCell="I26" sqref="I26"/>
    </sheetView>
  </sheetViews>
  <sheetFormatPr baseColWidth="10" defaultColWidth="8.88671875" defaultRowHeight="14.4" x14ac:dyDescent="0.3"/>
  <cols>
    <col min="1" max="1" width="58" customWidth="1"/>
    <col min="2" max="2" width="45" customWidth="1"/>
    <col min="3" max="3" width="20" customWidth="1"/>
    <col min="4" max="4" width="13" customWidth="1"/>
    <col min="5" max="5" width="14" customWidth="1"/>
    <col min="6" max="6" width="34" customWidth="1"/>
    <col min="7" max="7" width="17" customWidth="1"/>
    <col min="9" max="9" width="15.44140625" bestFit="1" customWidth="1"/>
  </cols>
  <sheetData>
    <row r="1" spans="1:10" x14ac:dyDescent="0.3">
      <c r="A1" s="40" t="s">
        <v>200</v>
      </c>
      <c r="B1" s="36"/>
      <c r="C1" s="36"/>
      <c r="D1" s="36"/>
      <c r="E1" s="36"/>
      <c r="F1" s="36"/>
      <c r="G1" s="36"/>
    </row>
    <row r="2" spans="1:10" x14ac:dyDescent="0.3">
      <c r="A2" s="36"/>
      <c r="B2" s="36"/>
      <c r="C2" s="36"/>
      <c r="D2" s="36"/>
      <c r="E2" s="36"/>
      <c r="F2" s="36"/>
      <c r="G2" s="36"/>
    </row>
    <row r="3" spans="1:10" x14ac:dyDescent="0.3">
      <c r="A3" s="17"/>
      <c r="B3" s="17"/>
      <c r="C3" s="17"/>
      <c r="D3" s="17"/>
      <c r="E3" s="17"/>
      <c r="F3" s="17"/>
      <c r="G3" s="17"/>
    </row>
    <row r="4" spans="1:10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22</v>
      </c>
    </row>
    <row r="5" spans="1:10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10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10" x14ac:dyDescent="0.3">
      <c r="A7" s="17"/>
      <c r="B7" s="17"/>
      <c r="C7" s="17"/>
      <c r="D7" s="17"/>
      <c r="E7" s="17"/>
      <c r="F7" s="17"/>
      <c r="G7" s="17"/>
    </row>
    <row r="8" spans="1:10" x14ac:dyDescent="0.3">
      <c r="A8" s="39" t="s">
        <v>210</v>
      </c>
      <c r="B8" s="36"/>
      <c r="C8" s="36"/>
      <c r="D8" s="17"/>
      <c r="E8" s="39" t="s">
        <v>211</v>
      </c>
      <c r="F8" s="36"/>
      <c r="G8" s="36"/>
      <c r="I8" s="44" t="s">
        <v>241</v>
      </c>
      <c r="J8" s="44"/>
    </row>
    <row r="9" spans="1:10" x14ac:dyDescent="0.3">
      <c r="A9" s="19" t="s">
        <v>212</v>
      </c>
      <c r="B9" s="18" t="s">
        <v>21</v>
      </c>
      <c r="C9" s="17"/>
      <c r="D9" s="17"/>
      <c r="E9" s="19" t="s">
        <v>212</v>
      </c>
      <c r="F9" s="18" t="s">
        <v>201</v>
      </c>
      <c r="G9" s="17"/>
      <c r="I9" s="18" t="s">
        <v>242</v>
      </c>
      <c r="J9" s="48"/>
    </row>
    <row r="10" spans="1:10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  <c r="I10" s="18" t="s">
        <v>243</v>
      </c>
      <c r="J10" s="49"/>
    </row>
    <row r="11" spans="1:10" x14ac:dyDescent="0.3">
      <c r="A11" s="19" t="s">
        <v>216</v>
      </c>
      <c r="B11" s="17" t="s">
        <v>233</v>
      </c>
      <c r="C11" s="17"/>
      <c r="D11" s="17"/>
      <c r="E11" s="19" t="s">
        <v>216</v>
      </c>
      <c r="F11" s="17" t="s">
        <v>218</v>
      </c>
      <c r="G11" s="17"/>
      <c r="I11" s="18" t="s">
        <v>244</v>
      </c>
      <c r="J11" s="45"/>
    </row>
    <row r="12" spans="1:10" x14ac:dyDescent="0.3">
      <c r="A12" s="19" t="s">
        <v>219</v>
      </c>
      <c r="B12" s="17" t="s">
        <v>89</v>
      </c>
      <c r="C12" s="17"/>
      <c r="D12" s="17"/>
      <c r="E12" s="19" t="s">
        <v>220</v>
      </c>
      <c r="F12" s="17" t="s">
        <v>221</v>
      </c>
      <c r="G12" s="17"/>
    </row>
    <row r="13" spans="1:10" x14ac:dyDescent="0.3">
      <c r="A13" s="17"/>
      <c r="B13" s="17"/>
      <c r="C13" s="17"/>
      <c r="D13" s="17"/>
      <c r="E13" s="17"/>
      <c r="F13" s="17"/>
      <c r="G13" s="17"/>
    </row>
    <row r="14" spans="1:10" x14ac:dyDescent="0.3">
      <c r="A14" s="17"/>
      <c r="B14" s="17"/>
      <c r="C14" s="17"/>
      <c r="D14" s="17"/>
      <c r="E14" s="17"/>
      <c r="F14" s="17"/>
      <c r="G14" s="17"/>
    </row>
    <row r="15" spans="1:10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  <c r="H15" s="47" t="s">
        <v>245</v>
      </c>
    </row>
    <row r="16" spans="1:10" x14ac:dyDescent="0.3">
      <c r="A16" s="22">
        <v>1</v>
      </c>
      <c r="B16" s="23" t="s">
        <v>86</v>
      </c>
      <c r="C16" s="23" t="s">
        <v>85</v>
      </c>
      <c r="D16" s="22">
        <v>1</v>
      </c>
      <c r="E16" s="22" t="s">
        <v>79</v>
      </c>
      <c r="F16" s="24">
        <v>1017.45</v>
      </c>
      <c r="G16" s="24">
        <f>D16*F16</f>
        <v>1017.45</v>
      </c>
      <c r="H16" s="51"/>
    </row>
    <row r="17" spans="1:8" x14ac:dyDescent="0.3">
      <c r="A17" s="30"/>
      <c r="B17" s="30"/>
      <c r="C17" s="30"/>
      <c r="D17" s="25"/>
      <c r="E17" s="30"/>
      <c r="F17" s="30"/>
      <c r="G17" s="31"/>
      <c r="H17" s="31"/>
    </row>
    <row r="18" spans="1:8" x14ac:dyDescent="0.3">
      <c r="A18" s="28"/>
      <c r="B18" s="28"/>
      <c r="C18" s="28"/>
      <c r="D18" s="22"/>
      <c r="E18" s="28"/>
      <c r="F18" s="28"/>
      <c r="G18" s="29"/>
      <c r="H18" s="29"/>
    </row>
    <row r="19" spans="1:8" x14ac:dyDescent="0.3">
      <c r="A19" s="30"/>
      <c r="B19" s="30"/>
      <c r="C19" s="30"/>
      <c r="D19" s="25"/>
      <c r="E19" s="30"/>
      <c r="F19" s="30"/>
      <c r="G19" s="31"/>
      <c r="H19" s="31"/>
    </row>
    <row r="20" spans="1:8" x14ac:dyDescent="0.3">
      <c r="A20" s="28"/>
      <c r="B20" s="28"/>
      <c r="C20" s="28"/>
      <c r="D20" s="22"/>
      <c r="E20" s="28"/>
      <c r="F20" s="28"/>
      <c r="G20" s="29"/>
      <c r="H20" s="29"/>
    </row>
    <row r="21" spans="1:8" x14ac:dyDescent="0.3">
      <c r="A21" s="30"/>
      <c r="B21" s="30"/>
      <c r="C21" s="30"/>
      <c r="D21" s="25"/>
      <c r="E21" s="30"/>
      <c r="F21" s="30"/>
      <c r="G21" s="31"/>
      <c r="H21" s="31"/>
    </row>
    <row r="22" spans="1:8" x14ac:dyDescent="0.3">
      <c r="A22" s="28"/>
      <c r="B22" s="28"/>
      <c r="C22" s="28"/>
      <c r="D22" s="22"/>
      <c r="E22" s="28"/>
      <c r="F22" s="28"/>
      <c r="G22" s="29"/>
      <c r="H22" s="29"/>
    </row>
    <row r="23" spans="1:8" x14ac:dyDescent="0.3">
      <c r="A23" s="30"/>
      <c r="B23" s="30"/>
      <c r="C23" s="30"/>
      <c r="D23" s="25"/>
      <c r="E23" s="30"/>
      <c r="F23" s="30"/>
      <c r="G23" s="31"/>
      <c r="H23" s="31"/>
    </row>
    <row r="24" spans="1:8" x14ac:dyDescent="0.3">
      <c r="A24" s="28"/>
      <c r="B24" s="28"/>
      <c r="C24" s="28"/>
      <c r="D24" s="22"/>
      <c r="E24" s="28"/>
      <c r="F24" s="28"/>
      <c r="G24" s="29"/>
      <c r="H24" s="29"/>
    </row>
    <row r="25" spans="1:8" x14ac:dyDescent="0.3">
      <c r="A25" s="30"/>
      <c r="B25" s="30"/>
      <c r="C25" s="30"/>
      <c r="D25" s="25"/>
      <c r="E25" s="30"/>
      <c r="F25" s="30"/>
      <c r="G25" s="31"/>
      <c r="H25" s="31"/>
    </row>
    <row r="26" spans="1:8" x14ac:dyDescent="0.3">
      <c r="A26" s="28"/>
      <c r="B26" s="28"/>
      <c r="C26" s="28"/>
      <c r="D26" s="22"/>
      <c r="E26" s="28"/>
      <c r="F26" s="28"/>
      <c r="G26" s="29"/>
      <c r="H26" s="29"/>
    </row>
    <row r="27" spans="1:8" x14ac:dyDescent="0.3">
      <c r="A27" s="30"/>
      <c r="B27" s="30"/>
      <c r="C27" s="30"/>
      <c r="D27" s="25"/>
      <c r="E27" s="30"/>
      <c r="F27" s="30"/>
      <c r="G27" s="31"/>
      <c r="H27" s="31"/>
    </row>
    <row r="28" spans="1:8" x14ac:dyDescent="0.3">
      <c r="A28" s="28"/>
      <c r="B28" s="28"/>
      <c r="C28" s="28"/>
      <c r="D28" s="22"/>
      <c r="E28" s="28"/>
      <c r="F28" s="28"/>
      <c r="G28" s="29"/>
      <c r="H28" s="29"/>
    </row>
    <row r="29" spans="1:8" x14ac:dyDescent="0.3">
      <c r="A29" s="30"/>
      <c r="B29" s="30"/>
      <c r="C29" s="30"/>
      <c r="D29" s="25"/>
      <c r="E29" s="30"/>
      <c r="F29" s="30"/>
      <c r="G29" s="31"/>
      <c r="H29" s="31"/>
    </row>
    <row r="30" spans="1:8" x14ac:dyDescent="0.3">
      <c r="A30" s="17"/>
      <c r="B30" s="17"/>
      <c r="C30" s="17"/>
      <c r="D30" s="17"/>
      <c r="E30" s="17"/>
      <c r="F30" s="17"/>
      <c r="G30" s="17"/>
      <c r="H30" s="17"/>
    </row>
    <row r="31" spans="1:8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1017.45</v>
      </c>
      <c r="H31" s="33"/>
    </row>
    <row r="32" spans="1:8" x14ac:dyDescent="0.3">
      <c r="A32" s="17"/>
      <c r="B32" s="17"/>
      <c r="C32" s="17"/>
      <c r="D32" s="17"/>
      <c r="E32" s="17"/>
      <c r="F32" s="32" t="s">
        <v>228</v>
      </c>
      <c r="G32" s="33">
        <f>G31*0.16</f>
        <v>162.792</v>
      </c>
      <c r="H32" s="33"/>
    </row>
    <row r="33" spans="1:8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1180.242</v>
      </c>
      <c r="H33" s="34"/>
    </row>
  </sheetData>
  <mergeCells count="4">
    <mergeCell ref="A8:C8"/>
    <mergeCell ref="E8:G8"/>
    <mergeCell ref="A1:G2"/>
    <mergeCell ref="I8:J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B25" workbookViewId="0">
      <selection activeCell="H15" sqref="H15:H33"/>
    </sheetView>
  </sheetViews>
  <sheetFormatPr baseColWidth="10" defaultColWidth="8.88671875" defaultRowHeight="14.4" x14ac:dyDescent="0.3"/>
  <cols>
    <col min="1" max="1" width="58" customWidth="1"/>
    <col min="2" max="2" width="29" customWidth="1"/>
    <col min="3" max="3" width="21.5546875" bestFit="1" customWidth="1"/>
    <col min="4" max="4" width="13" customWidth="1"/>
    <col min="5" max="5" width="14" customWidth="1"/>
    <col min="6" max="6" width="34" customWidth="1"/>
    <col min="7" max="7" width="17" customWidth="1"/>
    <col min="9" max="9" width="15.44140625" bestFit="1" customWidth="1"/>
  </cols>
  <sheetData>
    <row r="1" spans="1:10" x14ac:dyDescent="0.3">
      <c r="A1" s="40" t="s">
        <v>200</v>
      </c>
      <c r="B1" s="36"/>
      <c r="C1" s="36"/>
      <c r="D1" s="36"/>
      <c r="E1" s="36"/>
      <c r="F1" s="36"/>
      <c r="G1" s="36"/>
    </row>
    <row r="2" spans="1:10" x14ac:dyDescent="0.3">
      <c r="A2" s="36"/>
      <c r="B2" s="36"/>
      <c r="C2" s="36"/>
      <c r="D2" s="36"/>
      <c r="E2" s="36"/>
      <c r="F2" s="36"/>
      <c r="G2" s="36"/>
    </row>
    <row r="3" spans="1:10" x14ac:dyDescent="0.3">
      <c r="A3" s="17"/>
      <c r="B3" s="17"/>
      <c r="C3" s="17"/>
      <c r="D3" s="17"/>
      <c r="E3" s="17"/>
      <c r="F3" s="17"/>
      <c r="G3" s="17"/>
    </row>
    <row r="4" spans="1:10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24</v>
      </c>
    </row>
    <row r="5" spans="1:10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10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10" x14ac:dyDescent="0.3">
      <c r="A7" s="17"/>
      <c r="B7" s="17"/>
      <c r="C7" s="17"/>
      <c r="D7" s="17"/>
      <c r="E7" s="17"/>
      <c r="F7" s="17"/>
      <c r="G7" s="17"/>
    </row>
    <row r="8" spans="1:10" x14ac:dyDescent="0.3">
      <c r="A8" s="39" t="s">
        <v>210</v>
      </c>
      <c r="B8" s="36"/>
      <c r="C8" s="36"/>
      <c r="D8" s="17"/>
      <c r="E8" s="39" t="s">
        <v>211</v>
      </c>
      <c r="F8" s="36"/>
      <c r="G8" s="36"/>
      <c r="I8" s="44" t="s">
        <v>241</v>
      </c>
      <c r="J8" s="44"/>
    </row>
    <row r="9" spans="1:10" x14ac:dyDescent="0.3">
      <c r="A9" s="19" t="s">
        <v>212</v>
      </c>
      <c r="B9" s="18" t="s">
        <v>23</v>
      </c>
      <c r="C9" s="17"/>
      <c r="D9" s="17"/>
      <c r="E9" s="19" t="s">
        <v>212</v>
      </c>
      <c r="F9" s="18" t="s">
        <v>201</v>
      </c>
      <c r="G9" s="17"/>
      <c r="I9" s="18" t="s">
        <v>242</v>
      </c>
      <c r="J9" s="48"/>
    </row>
    <row r="10" spans="1:10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  <c r="I10" s="18" t="s">
        <v>243</v>
      </c>
      <c r="J10" s="49"/>
    </row>
    <row r="11" spans="1:10" x14ac:dyDescent="0.3">
      <c r="A11" s="19" t="s">
        <v>216</v>
      </c>
      <c r="B11" s="17" t="s">
        <v>232</v>
      </c>
      <c r="C11" s="17"/>
      <c r="D11" s="17"/>
      <c r="E11" s="19" t="s">
        <v>216</v>
      </c>
      <c r="F11" s="17" t="s">
        <v>218</v>
      </c>
      <c r="G11" s="17"/>
      <c r="I11" s="18" t="s">
        <v>244</v>
      </c>
      <c r="J11" s="45"/>
    </row>
    <row r="12" spans="1:10" x14ac:dyDescent="0.3">
      <c r="A12" s="19" t="s">
        <v>219</v>
      </c>
      <c r="B12" s="17" t="s">
        <v>95</v>
      </c>
      <c r="C12" s="17"/>
      <c r="D12" s="17"/>
      <c r="E12" s="19" t="s">
        <v>220</v>
      </c>
      <c r="F12" s="17" t="s">
        <v>221</v>
      </c>
      <c r="G12" s="17"/>
    </row>
    <row r="13" spans="1:10" x14ac:dyDescent="0.3">
      <c r="A13" s="17"/>
      <c r="B13" s="17"/>
      <c r="C13" s="17"/>
      <c r="D13" s="17"/>
      <c r="E13" s="17"/>
      <c r="F13" s="17"/>
      <c r="G13" s="17"/>
    </row>
    <row r="14" spans="1:10" x14ac:dyDescent="0.3">
      <c r="A14" s="17"/>
      <c r="B14" s="17"/>
      <c r="C14" s="17"/>
      <c r="D14" s="17"/>
      <c r="E14" s="17"/>
      <c r="F14" s="17"/>
      <c r="G14" s="17"/>
    </row>
    <row r="15" spans="1:10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  <c r="H15" s="47" t="s">
        <v>245</v>
      </c>
    </row>
    <row r="16" spans="1:10" x14ac:dyDescent="0.3">
      <c r="A16" s="22">
        <v>1</v>
      </c>
      <c r="B16" s="23" t="s">
        <v>92</v>
      </c>
      <c r="C16" s="23" t="s">
        <v>240</v>
      </c>
      <c r="D16" s="22">
        <v>2</v>
      </c>
      <c r="E16" s="22" t="s">
        <v>79</v>
      </c>
      <c r="F16" s="24">
        <v>100</v>
      </c>
      <c r="G16" s="24">
        <f>D16*F16</f>
        <v>200</v>
      </c>
      <c r="H16" s="51"/>
    </row>
    <row r="17" spans="1:8" x14ac:dyDescent="0.3">
      <c r="A17" s="30"/>
      <c r="B17" s="30"/>
      <c r="C17" s="30"/>
      <c r="D17" s="25"/>
      <c r="E17" s="30"/>
      <c r="F17" s="30"/>
      <c r="G17" s="31"/>
      <c r="H17" s="31"/>
    </row>
    <row r="18" spans="1:8" x14ac:dyDescent="0.3">
      <c r="A18" s="28"/>
      <c r="B18" s="28"/>
      <c r="C18" s="28"/>
      <c r="D18" s="22"/>
      <c r="E18" s="28"/>
      <c r="F18" s="28"/>
      <c r="G18" s="29"/>
      <c r="H18" s="29"/>
    </row>
    <row r="19" spans="1:8" x14ac:dyDescent="0.3">
      <c r="A19" s="30"/>
      <c r="B19" s="30"/>
      <c r="C19" s="30"/>
      <c r="D19" s="25"/>
      <c r="E19" s="30"/>
      <c r="F19" s="30"/>
      <c r="G19" s="31"/>
      <c r="H19" s="31"/>
    </row>
    <row r="20" spans="1:8" x14ac:dyDescent="0.3">
      <c r="A20" s="28"/>
      <c r="B20" s="28"/>
      <c r="C20" s="28"/>
      <c r="D20" s="22"/>
      <c r="E20" s="28"/>
      <c r="F20" s="28"/>
      <c r="G20" s="29"/>
      <c r="H20" s="29"/>
    </row>
    <row r="21" spans="1:8" x14ac:dyDescent="0.3">
      <c r="A21" s="30"/>
      <c r="B21" s="30"/>
      <c r="C21" s="30"/>
      <c r="D21" s="25"/>
      <c r="E21" s="30"/>
      <c r="F21" s="30"/>
      <c r="G21" s="31"/>
      <c r="H21" s="31"/>
    </row>
    <row r="22" spans="1:8" x14ac:dyDescent="0.3">
      <c r="A22" s="28"/>
      <c r="B22" s="28"/>
      <c r="C22" s="28"/>
      <c r="D22" s="22"/>
      <c r="E22" s="28"/>
      <c r="F22" s="28"/>
      <c r="G22" s="29"/>
      <c r="H22" s="29"/>
    </row>
    <row r="23" spans="1:8" x14ac:dyDescent="0.3">
      <c r="A23" s="30"/>
      <c r="B23" s="30"/>
      <c r="C23" s="30"/>
      <c r="D23" s="25"/>
      <c r="E23" s="30"/>
      <c r="F23" s="30"/>
      <c r="G23" s="31"/>
      <c r="H23" s="31"/>
    </row>
    <row r="24" spans="1:8" x14ac:dyDescent="0.3">
      <c r="A24" s="28"/>
      <c r="B24" s="28"/>
      <c r="C24" s="28"/>
      <c r="D24" s="22"/>
      <c r="E24" s="28"/>
      <c r="F24" s="28"/>
      <c r="G24" s="29"/>
      <c r="H24" s="29"/>
    </row>
    <row r="25" spans="1:8" x14ac:dyDescent="0.3">
      <c r="A25" s="30"/>
      <c r="B25" s="30"/>
      <c r="C25" s="30"/>
      <c r="D25" s="25"/>
      <c r="E25" s="30"/>
      <c r="F25" s="30"/>
      <c r="G25" s="31"/>
      <c r="H25" s="31"/>
    </row>
    <row r="26" spans="1:8" x14ac:dyDescent="0.3">
      <c r="A26" s="28"/>
      <c r="B26" s="28"/>
      <c r="C26" s="28"/>
      <c r="D26" s="22"/>
      <c r="E26" s="28"/>
      <c r="F26" s="28"/>
      <c r="G26" s="29"/>
      <c r="H26" s="29"/>
    </row>
    <row r="27" spans="1:8" x14ac:dyDescent="0.3">
      <c r="A27" s="30"/>
      <c r="B27" s="30"/>
      <c r="C27" s="30"/>
      <c r="D27" s="25"/>
      <c r="E27" s="30"/>
      <c r="F27" s="30"/>
      <c r="G27" s="31"/>
      <c r="H27" s="31"/>
    </row>
    <row r="28" spans="1:8" x14ac:dyDescent="0.3">
      <c r="A28" s="28"/>
      <c r="B28" s="28"/>
      <c r="C28" s="28"/>
      <c r="D28" s="22"/>
      <c r="E28" s="28"/>
      <c r="F28" s="28"/>
      <c r="G28" s="29"/>
      <c r="H28" s="29"/>
    </row>
    <row r="29" spans="1:8" x14ac:dyDescent="0.3">
      <c r="A29" s="30"/>
      <c r="B29" s="30"/>
      <c r="C29" s="30"/>
      <c r="D29" s="25"/>
      <c r="E29" s="30"/>
      <c r="F29" s="30"/>
      <c r="G29" s="31"/>
      <c r="H29" s="31"/>
    </row>
    <row r="30" spans="1:8" x14ac:dyDescent="0.3">
      <c r="A30" s="17"/>
      <c r="B30" s="17"/>
      <c r="C30" s="17"/>
      <c r="D30" s="17"/>
      <c r="E30" s="17"/>
      <c r="F30" s="17"/>
      <c r="G30" s="17"/>
      <c r="H30" s="17"/>
    </row>
    <row r="31" spans="1:8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200</v>
      </c>
      <c r="H31" s="33"/>
    </row>
    <row r="32" spans="1:8" x14ac:dyDescent="0.3">
      <c r="A32" s="17"/>
      <c r="B32" s="17"/>
      <c r="C32" s="17"/>
      <c r="D32" s="17"/>
      <c r="E32" s="17"/>
      <c r="F32" s="32" t="s">
        <v>228</v>
      </c>
      <c r="G32" s="33">
        <f>G31*0.16</f>
        <v>32</v>
      </c>
      <c r="H32" s="33"/>
    </row>
    <row r="33" spans="1:8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232</v>
      </c>
      <c r="H33" s="34"/>
    </row>
  </sheetData>
  <mergeCells count="4">
    <mergeCell ref="A8:C8"/>
    <mergeCell ref="E8:G8"/>
    <mergeCell ref="A1:G2"/>
    <mergeCell ref="I8:J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3"/>
  <sheetViews>
    <sheetView workbookViewId="0"/>
  </sheetViews>
  <sheetFormatPr baseColWidth="10" defaultColWidth="8.88671875" defaultRowHeight="14.4" x14ac:dyDescent="0.3"/>
  <cols>
    <col min="1" max="1" width="58" customWidth="1"/>
    <col min="2" max="2" width="29" customWidth="1"/>
    <col min="3" max="3" width="15" customWidth="1"/>
    <col min="4" max="4" width="13" customWidth="1"/>
    <col min="5" max="5" width="14" customWidth="1"/>
    <col min="6" max="6" width="34" customWidth="1"/>
    <col min="7" max="7" width="17" customWidth="1"/>
  </cols>
  <sheetData>
    <row r="1" spans="1:7" x14ac:dyDescent="0.3">
      <c r="A1" s="40" t="s">
        <v>200</v>
      </c>
      <c r="B1" s="36"/>
      <c r="C1" s="36"/>
      <c r="D1" s="36"/>
      <c r="E1" s="36"/>
      <c r="F1" s="36"/>
      <c r="G1" s="36"/>
    </row>
    <row r="2" spans="1:7" x14ac:dyDescent="0.3">
      <c r="A2" s="36"/>
      <c r="B2" s="36"/>
      <c r="C2" s="36"/>
      <c r="D2" s="36"/>
      <c r="E2" s="36"/>
      <c r="F2" s="36"/>
      <c r="G2" s="36"/>
    </row>
    <row r="3" spans="1:7" x14ac:dyDescent="0.3">
      <c r="A3" s="17"/>
      <c r="B3" s="17"/>
      <c r="C3" s="17"/>
      <c r="D3" s="17"/>
      <c r="E3" s="17"/>
      <c r="F3" s="17"/>
      <c r="G3" s="17"/>
    </row>
    <row r="4" spans="1:7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26</v>
      </c>
    </row>
    <row r="5" spans="1:7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7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7" x14ac:dyDescent="0.3">
      <c r="A7" s="17"/>
      <c r="B7" s="17"/>
      <c r="C7" s="17"/>
      <c r="D7" s="17"/>
      <c r="E7" s="17"/>
      <c r="F7" s="17"/>
      <c r="G7" s="17"/>
    </row>
    <row r="8" spans="1:7" x14ac:dyDescent="0.3">
      <c r="A8" s="39" t="s">
        <v>210</v>
      </c>
      <c r="B8" s="36"/>
      <c r="C8" s="36"/>
      <c r="D8" s="17"/>
      <c r="E8" s="39" t="s">
        <v>211</v>
      </c>
      <c r="F8" s="36"/>
      <c r="G8" s="36"/>
    </row>
    <row r="9" spans="1:7" x14ac:dyDescent="0.3">
      <c r="A9" s="19" t="s">
        <v>212</v>
      </c>
      <c r="B9" s="18" t="s">
        <v>25</v>
      </c>
      <c r="C9" s="17"/>
      <c r="D9" s="17"/>
      <c r="E9" s="19" t="s">
        <v>212</v>
      </c>
      <c r="F9" s="18" t="s">
        <v>201</v>
      </c>
      <c r="G9" s="17"/>
    </row>
    <row r="10" spans="1:7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</row>
    <row r="11" spans="1:7" x14ac:dyDescent="0.3">
      <c r="A11" s="19" t="s">
        <v>216</v>
      </c>
      <c r="B11" s="17" t="s">
        <v>217</v>
      </c>
      <c r="C11" s="17"/>
      <c r="D11" s="17"/>
      <c r="E11" s="19" t="s">
        <v>216</v>
      </c>
      <c r="F11" s="17" t="s">
        <v>218</v>
      </c>
      <c r="G11" s="17"/>
    </row>
    <row r="12" spans="1:7" x14ac:dyDescent="0.3">
      <c r="A12" s="19" t="s">
        <v>219</v>
      </c>
      <c r="B12" s="17" t="s">
        <v>101</v>
      </c>
      <c r="C12" s="17"/>
      <c r="D12" s="17"/>
      <c r="E12" s="19" t="s">
        <v>220</v>
      </c>
      <c r="F12" s="17" t="s">
        <v>221</v>
      </c>
      <c r="G12" s="17"/>
    </row>
    <row r="13" spans="1:7" x14ac:dyDescent="0.3">
      <c r="A13" s="17"/>
      <c r="B13" s="17"/>
      <c r="C13" s="17"/>
      <c r="D13" s="17"/>
      <c r="E13" s="17"/>
      <c r="F13" s="17"/>
      <c r="G13" s="17"/>
    </row>
    <row r="14" spans="1:7" x14ac:dyDescent="0.3">
      <c r="A14" s="17"/>
      <c r="B14" s="17"/>
      <c r="C14" s="17"/>
      <c r="D14" s="17"/>
      <c r="E14" s="17"/>
      <c r="F14" s="17"/>
      <c r="G14" s="17"/>
    </row>
    <row r="15" spans="1:7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</row>
    <row r="16" spans="1:7" x14ac:dyDescent="0.3">
      <c r="A16" s="22">
        <v>1</v>
      </c>
      <c r="B16" s="23" t="s">
        <v>99</v>
      </c>
      <c r="C16" s="23" t="s">
        <v>98</v>
      </c>
      <c r="D16" s="22">
        <v>1</v>
      </c>
      <c r="E16" s="22" t="s">
        <v>79</v>
      </c>
      <c r="F16" s="24">
        <v>8060</v>
      </c>
      <c r="G16" s="24">
        <f>D16*F16</f>
        <v>8060</v>
      </c>
    </row>
    <row r="17" spans="1:7" x14ac:dyDescent="0.3">
      <c r="A17" s="30"/>
      <c r="B17" s="30"/>
      <c r="C17" s="30"/>
      <c r="D17" s="25"/>
      <c r="E17" s="30"/>
      <c r="F17" s="30"/>
      <c r="G17" s="31"/>
    </row>
    <row r="18" spans="1:7" x14ac:dyDescent="0.3">
      <c r="A18" s="28"/>
      <c r="B18" s="28"/>
      <c r="C18" s="28"/>
      <c r="D18" s="22"/>
      <c r="E18" s="28"/>
      <c r="F18" s="28"/>
      <c r="G18" s="29"/>
    </row>
    <row r="19" spans="1:7" x14ac:dyDescent="0.3">
      <c r="A19" s="30"/>
      <c r="B19" s="30"/>
      <c r="C19" s="30"/>
      <c r="D19" s="25"/>
      <c r="E19" s="30"/>
      <c r="F19" s="30"/>
      <c r="G19" s="31"/>
    </row>
    <row r="20" spans="1:7" x14ac:dyDescent="0.3">
      <c r="A20" s="28"/>
      <c r="B20" s="28"/>
      <c r="C20" s="28"/>
      <c r="D20" s="22"/>
      <c r="E20" s="28"/>
      <c r="F20" s="28"/>
      <c r="G20" s="29"/>
    </row>
    <row r="21" spans="1:7" x14ac:dyDescent="0.3">
      <c r="A21" s="30"/>
      <c r="B21" s="30"/>
      <c r="C21" s="30"/>
      <c r="D21" s="25"/>
      <c r="E21" s="30"/>
      <c r="F21" s="30"/>
      <c r="G21" s="31"/>
    </row>
    <row r="22" spans="1:7" x14ac:dyDescent="0.3">
      <c r="A22" s="28"/>
      <c r="B22" s="28"/>
      <c r="C22" s="28"/>
      <c r="D22" s="22"/>
      <c r="E22" s="28"/>
      <c r="F22" s="28"/>
      <c r="G22" s="29"/>
    </row>
    <row r="23" spans="1:7" x14ac:dyDescent="0.3">
      <c r="A23" s="30"/>
      <c r="B23" s="30"/>
      <c r="C23" s="30"/>
      <c r="D23" s="25"/>
      <c r="E23" s="30"/>
      <c r="F23" s="30"/>
      <c r="G23" s="31"/>
    </row>
    <row r="24" spans="1:7" x14ac:dyDescent="0.3">
      <c r="A24" s="28"/>
      <c r="B24" s="28"/>
      <c r="C24" s="28"/>
      <c r="D24" s="22"/>
      <c r="E24" s="28"/>
      <c r="F24" s="28"/>
      <c r="G24" s="29"/>
    </row>
    <row r="25" spans="1:7" x14ac:dyDescent="0.3">
      <c r="A25" s="30"/>
      <c r="B25" s="30"/>
      <c r="C25" s="30"/>
      <c r="D25" s="25"/>
      <c r="E25" s="30"/>
      <c r="F25" s="30"/>
      <c r="G25" s="31"/>
    </row>
    <row r="26" spans="1:7" x14ac:dyDescent="0.3">
      <c r="A26" s="28"/>
      <c r="B26" s="28"/>
      <c r="C26" s="28"/>
      <c r="D26" s="22"/>
      <c r="E26" s="28"/>
      <c r="F26" s="28"/>
      <c r="G26" s="29"/>
    </row>
    <row r="27" spans="1:7" x14ac:dyDescent="0.3">
      <c r="A27" s="30"/>
      <c r="B27" s="30"/>
      <c r="C27" s="30"/>
      <c r="D27" s="25"/>
      <c r="E27" s="30"/>
      <c r="F27" s="30"/>
      <c r="G27" s="31"/>
    </row>
    <row r="28" spans="1:7" x14ac:dyDescent="0.3">
      <c r="A28" s="28"/>
      <c r="B28" s="28"/>
      <c r="C28" s="28"/>
      <c r="D28" s="22"/>
      <c r="E28" s="28"/>
      <c r="F28" s="28"/>
      <c r="G28" s="29"/>
    </row>
    <row r="29" spans="1:7" x14ac:dyDescent="0.3">
      <c r="A29" s="30"/>
      <c r="B29" s="30"/>
      <c r="C29" s="30"/>
      <c r="D29" s="25"/>
      <c r="E29" s="30"/>
      <c r="F29" s="30"/>
      <c r="G29" s="31"/>
    </row>
    <row r="30" spans="1:7" x14ac:dyDescent="0.3">
      <c r="A30" s="17"/>
      <c r="B30" s="17"/>
      <c r="C30" s="17"/>
      <c r="D30" s="17"/>
      <c r="E30" s="17"/>
      <c r="F30" s="17"/>
      <c r="G30" s="17"/>
    </row>
    <row r="31" spans="1:7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8060</v>
      </c>
    </row>
    <row r="32" spans="1:7" x14ac:dyDescent="0.3">
      <c r="A32" s="17"/>
      <c r="B32" s="17"/>
      <c r="C32" s="17"/>
      <c r="D32" s="17"/>
      <c r="E32" s="17"/>
      <c r="F32" s="32" t="s">
        <v>228</v>
      </c>
      <c r="G32" s="33">
        <f>G31*0.16</f>
        <v>1289.6000000000001</v>
      </c>
    </row>
    <row r="33" spans="1:7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9349.6</v>
      </c>
    </row>
  </sheetData>
  <mergeCells count="3">
    <mergeCell ref="A8:C8"/>
    <mergeCell ref="E8:G8"/>
    <mergeCell ref="A1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workbookViewId="0"/>
  </sheetViews>
  <sheetFormatPr baseColWidth="10" defaultColWidth="8.88671875" defaultRowHeight="14.4" x14ac:dyDescent="0.3"/>
  <cols>
    <col min="1" max="1" width="58" customWidth="1"/>
    <col min="2" max="2" width="29" customWidth="1"/>
    <col min="3" max="3" width="15" customWidth="1"/>
    <col min="4" max="4" width="13" customWidth="1"/>
    <col min="5" max="5" width="14" customWidth="1"/>
    <col min="6" max="6" width="34" customWidth="1"/>
    <col min="7" max="7" width="17" customWidth="1"/>
  </cols>
  <sheetData>
    <row r="1" spans="1:7" x14ac:dyDescent="0.3">
      <c r="A1" s="40" t="s">
        <v>200</v>
      </c>
      <c r="B1" s="36"/>
      <c r="C1" s="36"/>
      <c r="D1" s="36"/>
      <c r="E1" s="36"/>
      <c r="F1" s="36"/>
      <c r="G1" s="36"/>
    </row>
    <row r="2" spans="1:7" x14ac:dyDescent="0.3">
      <c r="A2" s="36"/>
      <c r="B2" s="36"/>
      <c r="C2" s="36"/>
      <c r="D2" s="36"/>
      <c r="E2" s="36"/>
      <c r="F2" s="36"/>
      <c r="G2" s="36"/>
    </row>
    <row r="3" spans="1:7" x14ac:dyDescent="0.3">
      <c r="A3" s="17"/>
      <c r="B3" s="17"/>
      <c r="C3" s="17"/>
      <c r="D3" s="17"/>
      <c r="E3" s="17"/>
      <c r="F3" s="17"/>
      <c r="G3" s="17"/>
    </row>
    <row r="4" spans="1:7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28</v>
      </c>
    </row>
    <row r="5" spans="1:7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7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7" x14ac:dyDescent="0.3">
      <c r="A7" s="17"/>
      <c r="B7" s="17"/>
      <c r="C7" s="17"/>
      <c r="D7" s="17"/>
      <c r="E7" s="17"/>
      <c r="F7" s="17"/>
      <c r="G7" s="17"/>
    </row>
    <row r="8" spans="1:7" x14ac:dyDescent="0.3">
      <c r="A8" s="39" t="s">
        <v>210</v>
      </c>
      <c r="B8" s="36"/>
      <c r="C8" s="36"/>
      <c r="D8" s="17"/>
      <c r="E8" s="39" t="s">
        <v>211</v>
      </c>
      <c r="F8" s="36"/>
      <c r="G8" s="36"/>
    </row>
    <row r="9" spans="1:7" x14ac:dyDescent="0.3">
      <c r="A9" s="19" t="s">
        <v>212</v>
      </c>
      <c r="B9" s="18" t="s">
        <v>27</v>
      </c>
      <c r="C9" s="17"/>
      <c r="D9" s="17"/>
      <c r="E9" s="19" t="s">
        <v>212</v>
      </c>
      <c r="F9" s="18" t="s">
        <v>201</v>
      </c>
      <c r="G9" s="17"/>
    </row>
    <row r="10" spans="1:7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</row>
    <row r="11" spans="1:7" x14ac:dyDescent="0.3">
      <c r="A11" s="19" t="s">
        <v>216</v>
      </c>
      <c r="B11" s="17" t="s">
        <v>232</v>
      </c>
      <c r="C11" s="17"/>
      <c r="D11" s="17"/>
      <c r="E11" s="19" t="s">
        <v>216</v>
      </c>
      <c r="F11" s="17" t="s">
        <v>218</v>
      </c>
      <c r="G11" s="17"/>
    </row>
    <row r="12" spans="1:7" x14ac:dyDescent="0.3">
      <c r="A12" s="19" t="s">
        <v>219</v>
      </c>
      <c r="B12" s="17" t="s">
        <v>107</v>
      </c>
      <c r="C12" s="17"/>
      <c r="D12" s="17"/>
      <c r="E12" s="19" t="s">
        <v>220</v>
      </c>
      <c r="F12" s="17" t="s">
        <v>221</v>
      </c>
      <c r="G12" s="17"/>
    </row>
    <row r="13" spans="1:7" x14ac:dyDescent="0.3">
      <c r="A13" s="17"/>
      <c r="B13" s="17"/>
      <c r="C13" s="17"/>
      <c r="D13" s="17"/>
      <c r="E13" s="17"/>
      <c r="F13" s="17"/>
      <c r="G13" s="17"/>
    </row>
    <row r="14" spans="1:7" x14ac:dyDescent="0.3">
      <c r="A14" s="17"/>
      <c r="B14" s="17"/>
      <c r="C14" s="17"/>
      <c r="D14" s="17"/>
      <c r="E14" s="17"/>
      <c r="F14" s="17"/>
      <c r="G14" s="17"/>
    </row>
    <row r="15" spans="1:7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</row>
    <row r="16" spans="1:7" x14ac:dyDescent="0.3">
      <c r="A16" s="22">
        <v>1</v>
      </c>
      <c r="B16" s="23" t="s">
        <v>105</v>
      </c>
      <c r="C16" s="23" t="s">
        <v>104</v>
      </c>
      <c r="D16" s="22">
        <v>1</v>
      </c>
      <c r="E16" s="22" t="s">
        <v>79</v>
      </c>
      <c r="F16" s="24">
        <v>1525.83</v>
      </c>
      <c r="G16" s="24">
        <f>D16*F16</f>
        <v>1525.83</v>
      </c>
    </row>
    <row r="17" spans="1:7" x14ac:dyDescent="0.3">
      <c r="A17" s="30"/>
      <c r="B17" s="30"/>
      <c r="C17" s="30"/>
      <c r="D17" s="25"/>
      <c r="E17" s="30"/>
      <c r="F17" s="30"/>
      <c r="G17" s="31"/>
    </row>
    <row r="18" spans="1:7" x14ac:dyDescent="0.3">
      <c r="A18" s="28"/>
      <c r="B18" s="28"/>
      <c r="C18" s="28"/>
      <c r="D18" s="22"/>
      <c r="E18" s="28"/>
      <c r="F18" s="28"/>
      <c r="G18" s="29"/>
    </row>
    <row r="19" spans="1:7" x14ac:dyDescent="0.3">
      <c r="A19" s="30"/>
      <c r="B19" s="30"/>
      <c r="C19" s="30"/>
      <c r="D19" s="25"/>
      <c r="E19" s="30"/>
      <c r="F19" s="30"/>
      <c r="G19" s="31"/>
    </row>
    <row r="20" spans="1:7" x14ac:dyDescent="0.3">
      <c r="A20" s="28"/>
      <c r="B20" s="28"/>
      <c r="C20" s="28"/>
      <c r="D20" s="22"/>
      <c r="E20" s="28"/>
      <c r="F20" s="28"/>
      <c r="G20" s="29"/>
    </row>
    <row r="21" spans="1:7" x14ac:dyDescent="0.3">
      <c r="A21" s="30"/>
      <c r="B21" s="30"/>
      <c r="C21" s="30"/>
      <c r="D21" s="25"/>
      <c r="E21" s="30"/>
      <c r="F21" s="30"/>
      <c r="G21" s="31"/>
    </row>
    <row r="22" spans="1:7" x14ac:dyDescent="0.3">
      <c r="A22" s="28"/>
      <c r="B22" s="28"/>
      <c r="C22" s="28"/>
      <c r="D22" s="22"/>
      <c r="E22" s="28"/>
      <c r="F22" s="28"/>
      <c r="G22" s="29"/>
    </row>
    <row r="23" spans="1:7" x14ac:dyDescent="0.3">
      <c r="A23" s="30"/>
      <c r="B23" s="30"/>
      <c r="C23" s="30"/>
      <c r="D23" s="25"/>
      <c r="E23" s="30"/>
      <c r="F23" s="30"/>
      <c r="G23" s="31"/>
    </row>
    <row r="24" spans="1:7" x14ac:dyDescent="0.3">
      <c r="A24" s="28"/>
      <c r="B24" s="28"/>
      <c r="C24" s="28"/>
      <c r="D24" s="22"/>
      <c r="E24" s="28"/>
      <c r="F24" s="28"/>
      <c r="G24" s="29"/>
    </row>
    <row r="25" spans="1:7" x14ac:dyDescent="0.3">
      <c r="A25" s="30"/>
      <c r="B25" s="30"/>
      <c r="C25" s="30"/>
      <c r="D25" s="25"/>
      <c r="E25" s="30"/>
      <c r="F25" s="30"/>
      <c r="G25" s="31"/>
    </row>
    <row r="26" spans="1:7" x14ac:dyDescent="0.3">
      <c r="A26" s="28"/>
      <c r="B26" s="28"/>
      <c r="C26" s="28"/>
      <c r="D26" s="22"/>
      <c r="E26" s="28"/>
      <c r="F26" s="28"/>
      <c r="G26" s="29"/>
    </row>
    <row r="27" spans="1:7" x14ac:dyDescent="0.3">
      <c r="A27" s="30"/>
      <c r="B27" s="30"/>
      <c r="C27" s="30"/>
      <c r="D27" s="25"/>
      <c r="E27" s="30"/>
      <c r="F27" s="30"/>
      <c r="G27" s="31"/>
    </row>
    <row r="28" spans="1:7" x14ac:dyDescent="0.3">
      <c r="A28" s="28"/>
      <c r="B28" s="28"/>
      <c r="C28" s="28"/>
      <c r="D28" s="22"/>
      <c r="E28" s="28"/>
      <c r="F28" s="28"/>
      <c r="G28" s="29"/>
    </row>
    <row r="29" spans="1:7" x14ac:dyDescent="0.3">
      <c r="A29" s="30"/>
      <c r="B29" s="30"/>
      <c r="C29" s="30"/>
      <c r="D29" s="25"/>
      <c r="E29" s="30"/>
      <c r="F29" s="30"/>
      <c r="G29" s="31"/>
    </row>
    <row r="30" spans="1:7" x14ac:dyDescent="0.3">
      <c r="A30" s="17"/>
      <c r="B30" s="17"/>
      <c r="C30" s="17"/>
      <c r="D30" s="17"/>
      <c r="E30" s="17"/>
      <c r="F30" s="17"/>
      <c r="G30" s="17"/>
    </row>
    <row r="31" spans="1:7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1525.83</v>
      </c>
    </row>
    <row r="32" spans="1:7" x14ac:dyDescent="0.3">
      <c r="A32" s="17"/>
      <c r="B32" s="17"/>
      <c r="C32" s="17"/>
      <c r="D32" s="17"/>
      <c r="E32" s="17"/>
      <c r="F32" s="32" t="s">
        <v>228</v>
      </c>
      <c r="G32" s="33">
        <f>G31*0.16</f>
        <v>244.1328</v>
      </c>
    </row>
    <row r="33" spans="1:7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1769.9628</v>
      </c>
    </row>
  </sheetData>
  <mergeCells count="3">
    <mergeCell ref="A8:C8"/>
    <mergeCell ref="E8:G8"/>
    <mergeCell ref="A1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workbookViewId="0"/>
  </sheetViews>
  <sheetFormatPr baseColWidth="10" defaultColWidth="8.88671875" defaultRowHeight="14.4" x14ac:dyDescent="0.3"/>
  <cols>
    <col min="1" max="1" width="58" customWidth="1"/>
    <col min="2" max="2" width="29" customWidth="1"/>
    <col min="3" max="3" width="15" customWidth="1"/>
    <col min="4" max="4" width="13" customWidth="1"/>
    <col min="5" max="5" width="14" customWidth="1"/>
    <col min="6" max="6" width="34" customWidth="1"/>
    <col min="7" max="7" width="17" customWidth="1"/>
  </cols>
  <sheetData>
    <row r="1" spans="1:7" x14ac:dyDescent="0.3">
      <c r="A1" s="40" t="s">
        <v>200</v>
      </c>
      <c r="B1" s="36"/>
      <c r="C1" s="36"/>
      <c r="D1" s="36"/>
      <c r="E1" s="36"/>
      <c r="F1" s="36"/>
      <c r="G1" s="36"/>
    </row>
    <row r="2" spans="1:7" x14ac:dyDescent="0.3">
      <c r="A2" s="36"/>
      <c r="B2" s="36"/>
      <c r="C2" s="36"/>
      <c r="D2" s="36"/>
      <c r="E2" s="36"/>
      <c r="F2" s="36"/>
      <c r="G2" s="36"/>
    </row>
    <row r="3" spans="1:7" x14ac:dyDescent="0.3">
      <c r="A3" s="17"/>
      <c r="B3" s="17"/>
      <c r="C3" s="17"/>
      <c r="D3" s="17"/>
      <c r="E3" s="17"/>
      <c r="F3" s="17"/>
      <c r="G3" s="17"/>
    </row>
    <row r="4" spans="1:7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30</v>
      </c>
    </row>
    <row r="5" spans="1:7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7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7" x14ac:dyDescent="0.3">
      <c r="A7" s="17"/>
      <c r="B7" s="17"/>
      <c r="C7" s="17"/>
      <c r="D7" s="17"/>
      <c r="E7" s="17"/>
      <c r="F7" s="17"/>
      <c r="G7" s="17"/>
    </row>
    <row r="8" spans="1:7" x14ac:dyDescent="0.3">
      <c r="A8" s="39" t="s">
        <v>210</v>
      </c>
      <c r="B8" s="36"/>
      <c r="C8" s="36"/>
      <c r="D8" s="17"/>
      <c r="E8" s="39" t="s">
        <v>211</v>
      </c>
      <c r="F8" s="36"/>
      <c r="G8" s="36"/>
    </row>
    <row r="9" spans="1:7" x14ac:dyDescent="0.3">
      <c r="A9" s="19" t="s">
        <v>212</v>
      </c>
      <c r="B9" s="18" t="s">
        <v>29</v>
      </c>
      <c r="C9" s="17"/>
      <c r="D9" s="17"/>
      <c r="E9" s="19" t="s">
        <v>212</v>
      </c>
      <c r="F9" s="18" t="s">
        <v>201</v>
      </c>
      <c r="G9" s="17"/>
    </row>
    <row r="10" spans="1:7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</row>
    <row r="11" spans="1:7" x14ac:dyDescent="0.3">
      <c r="A11" s="19" t="s">
        <v>216</v>
      </c>
      <c r="B11" s="17" t="s">
        <v>217</v>
      </c>
      <c r="C11" s="17"/>
      <c r="D11" s="17"/>
      <c r="E11" s="19" t="s">
        <v>216</v>
      </c>
      <c r="F11" s="17" t="s">
        <v>218</v>
      </c>
      <c r="G11" s="17"/>
    </row>
    <row r="12" spans="1:7" x14ac:dyDescent="0.3">
      <c r="A12" s="19" t="s">
        <v>219</v>
      </c>
      <c r="B12" s="17" t="s">
        <v>118</v>
      </c>
      <c r="C12" s="17"/>
      <c r="D12" s="17"/>
      <c r="E12" s="19" t="s">
        <v>220</v>
      </c>
      <c r="F12" s="17" t="s">
        <v>221</v>
      </c>
      <c r="G12" s="17"/>
    </row>
    <row r="13" spans="1:7" x14ac:dyDescent="0.3">
      <c r="A13" s="17"/>
      <c r="B13" s="17"/>
      <c r="C13" s="17"/>
      <c r="D13" s="17"/>
      <c r="E13" s="17"/>
      <c r="F13" s="17"/>
      <c r="G13" s="17"/>
    </row>
    <row r="14" spans="1:7" x14ac:dyDescent="0.3">
      <c r="A14" s="17"/>
      <c r="B14" s="17"/>
      <c r="C14" s="17"/>
      <c r="D14" s="17"/>
      <c r="E14" s="17"/>
      <c r="F14" s="17"/>
      <c r="G14" s="17"/>
    </row>
    <row r="15" spans="1:7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</row>
    <row r="16" spans="1:7" x14ac:dyDescent="0.3">
      <c r="A16" s="22">
        <v>1</v>
      </c>
      <c r="B16" s="23" t="s">
        <v>116</v>
      </c>
      <c r="C16" s="23" t="s">
        <v>115</v>
      </c>
      <c r="D16" s="22">
        <v>2</v>
      </c>
      <c r="E16" s="22" t="s">
        <v>79</v>
      </c>
      <c r="F16" s="24">
        <v>6480</v>
      </c>
      <c r="G16" s="24">
        <f>D16*F16</f>
        <v>12960</v>
      </c>
    </row>
    <row r="17" spans="1:7" x14ac:dyDescent="0.3">
      <c r="A17" s="30"/>
      <c r="B17" s="30"/>
      <c r="C17" s="30"/>
      <c r="D17" s="25"/>
      <c r="E17" s="30"/>
      <c r="F17" s="30"/>
      <c r="G17" s="31"/>
    </row>
    <row r="18" spans="1:7" x14ac:dyDescent="0.3">
      <c r="A18" s="28"/>
      <c r="B18" s="28"/>
      <c r="C18" s="28"/>
      <c r="D18" s="22"/>
      <c r="E18" s="28"/>
      <c r="F18" s="28"/>
      <c r="G18" s="29"/>
    </row>
    <row r="19" spans="1:7" x14ac:dyDescent="0.3">
      <c r="A19" s="30"/>
      <c r="B19" s="30"/>
      <c r="C19" s="30"/>
      <c r="D19" s="25"/>
      <c r="E19" s="30"/>
      <c r="F19" s="30"/>
      <c r="G19" s="31"/>
    </row>
    <row r="20" spans="1:7" x14ac:dyDescent="0.3">
      <c r="A20" s="28"/>
      <c r="B20" s="28"/>
      <c r="C20" s="28"/>
      <c r="D20" s="22"/>
      <c r="E20" s="28"/>
      <c r="F20" s="28"/>
      <c r="G20" s="29"/>
    </row>
    <row r="21" spans="1:7" x14ac:dyDescent="0.3">
      <c r="A21" s="30"/>
      <c r="B21" s="30"/>
      <c r="C21" s="30"/>
      <c r="D21" s="25"/>
      <c r="E21" s="30"/>
      <c r="F21" s="30"/>
      <c r="G21" s="31"/>
    </row>
    <row r="22" spans="1:7" x14ac:dyDescent="0.3">
      <c r="A22" s="28"/>
      <c r="B22" s="28"/>
      <c r="C22" s="28"/>
      <c r="D22" s="22"/>
      <c r="E22" s="28"/>
      <c r="F22" s="28"/>
      <c r="G22" s="29"/>
    </row>
    <row r="23" spans="1:7" x14ac:dyDescent="0.3">
      <c r="A23" s="30"/>
      <c r="B23" s="30"/>
      <c r="C23" s="30"/>
      <c r="D23" s="25"/>
      <c r="E23" s="30"/>
      <c r="F23" s="30"/>
      <c r="G23" s="31"/>
    </row>
    <row r="24" spans="1:7" x14ac:dyDescent="0.3">
      <c r="A24" s="28"/>
      <c r="B24" s="28"/>
      <c r="C24" s="28"/>
      <c r="D24" s="22"/>
      <c r="E24" s="28"/>
      <c r="F24" s="28"/>
      <c r="G24" s="29"/>
    </row>
    <row r="25" spans="1:7" x14ac:dyDescent="0.3">
      <c r="A25" s="30"/>
      <c r="B25" s="30"/>
      <c r="C25" s="30"/>
      <c r="D25" s="25"/>
      <c r="E25" s="30"/>
      <c r="F25" s="30"/>
      <c r="G25" s="31"/>
    </row>
    <row r="26" spans="1:7" x14ac:dyDescent="0.3">
      <c r="A26" s="28"/>
      <c r="B26" s="28"/>
      <c r="C26" s="28"/>
      <c r="D26" s="22"/>
      <c r="E26" s="28"/>
      <c r="F26" s="28"/>
      <c r="G26" s="29"/>
    </row>
    <row r="27" spans="1:7" x14ac:dyDescent="0.3">
      <c r="A27" s="30"/>
      <c r="B27" s="30"/>
      <c r="C27" s="30"/>
      <c r="D27" s="25"/>
      <c r="E27" s="30"/>
      <c r="F27" s="30"/>
      <c r="G27" s="31"/>
    </row>
    <row r="28" spans="1:7" x14ac:dyDescent="0.3">
      <c r="A28" s="28"/>
      <c r="B28" s="28"/>
      <c r="C28" s="28"/>
      <c r="D28" s="22"/>
      <c r="E28" s="28"/>
      <c r="F28" s="28"/>
      <c r="G28" s="29"/>
    </row>
    <row r="29" spans="1:7" x14ac:dyDescent="0.3">
      <c r="A29" s="30"/>
      <c r="B29" s="30"/>
      <c r="C29" s="30"/>
      <c r="D29" s="25"/>
      <c r="E29" s="30"/>
      <c r="F29" s="30"/>
      <c r="G29" s="31"/>
    </row>
    <row r="30" spans="1:7" x14ac:dyDescent="0.3">
      <c r="A30" s="17"/>
      <c r="B30" s="17"/>
      <c r="C30" s="17"/>
      <c r="D30" s="17"/>
      <c r="E30" s="17"/>
      <c r="F30" s="17"/>
      <c r="G30" s="17"/>
    </row>
    <row r="31" spans="1:7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12960</v>
      </c>
    </row>
    <row r="32" spans="1:7" x14ac:dyDescent="0.3">
      <c r="A32" s="17"/>
      <c r="B32" s="17"/>
      <c r="C32" s="17"/>
      <c r="D32" s="17"/>
      <c r="E32" s="17"/>
      <c r="F32" s="32" t="s">
        <v>228</v>
      </c>
      <c r="G32" s="33">
        <f>G31*0.16</f>
        <v>2073.6</v>
      </c>
    </row>
    <row r="33" spans="1:7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15033.6</v>
      </c>
    </row>
  </sheetData>
  <mergeCells count="3">
    <mergeCell ref="A8:C8"/>
    <mergeCell ref="E8:G8"/>
    <mergeCell ref="A1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workbookViewId="0"/>
  </sheetViews>
  <sheetFormatPr baseColWidth="10" defaultColWidth="8.88671875" defaultRowHeight="14.4" x14ac:dyDescent="0.3"/>
  <cols>
    <col min="1" max="1" width="58" customWidth="1"/>
    <col min="2" max="2" width="29" customWidth="1"/>
    <col min="3" max="3" width="20" customWidth="1"/>
    <col min="4" max="4" width="13" customWidth="1"/>
    <col min="5" max="5" width="14" customWidth="1"/>
    <col min="6" max="6" width="34" customWidth="1"/>
    <col min="7" max="7" width="17" customWidth="1"/>
  </cols>
  <sheetData>
    <row r="1" spans="1:7" x14ac:dyDescent="0.3">
      <c r="A1" s="40" t="s">
        <v>200</v>
      </c>
      <c r="B1" s="36"/>
      <c r="C1" s="36"/>
      <c r="D1" s="36"/>
      <c r="E1" s="36"/>
      <c r="F1" s="36"/>
      <c r="G1" s="36"/>
    </row>
    <row r="2" spans="1:7" x14ac:dyDescent="0.3">
      <c r="A2" s="36"/>
      <c r="B2" s="36"/>
      <c r="C2" s="36"/>
      <c r="D2" s="36"/>
      <c r="E2" s="36"/>
      <c r="F2" s="36"/>
      <c r="G2" s="36"/>
    </row>
    <row r="3" spans="1:7" x14ac:dyDescent="0.3">
      <c r="A3" s="17"/>
      <c r="B3" s="17"/>
      <c r="C3" s="17"/>
      <c r="D3" s="17"/>
      <c r="E3" s="17"/>
      <c r="F3" s="17"/>
      <c r="G3" s="17"/>
    </row>
    <row r="4" spans="1:7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32</v>
      </c>
    </row>
    <row r="5" spans="1:7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7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7" x14ac:dyDescent="0.3">
      <c r="A7" s="17"/>
      <c r="B7" s="17"/>
      <c r="C7" s="17"/>
      <c r="D7" s="17"/>
      <c r="E7" s="17"/>
      <c r="F7" s="17"/>
      <c r="G7" s="17"/>
    </row>
    <row r="8" spans="1:7" x14ac:dyDescent="0.3">
      <c r="A8" s="39" t="s">
        <v>210</v>
      </c>
      <c r="B8" s="36"/>
      <c r="C8" s="36"/>
      <c r="D8" s="17"/>
      <c r="E8" s="39" t="s">
        <v>211</v>
      </c>
      <c r="F8" s="36"/>
      <c r="G8" s="36"/>
    </row>
    <row r="9" spans="1:7" x14ac:dyDescent="0.3">
      <c r="A9" s="19" t="s">
        <v>212</v>
      </c>
      <c r="B9" s="18" t="s">
        <v>31</v>
      </c>
      <c r="C9" s="17"/>
      <c r="D9" s="17"/>
      <c r="E9" s="19" t="s">
        <v>212</v>
      </c>
      <c r="F9" s="18" t="s">
        <v>201</v>
      </c>
      <c r="G9" s="17"/>
    </row>
    <row r="10" spans="1:7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</row>
    <row r="11" spans="1:7" x14ac:dyDescent="0.3">
      <c r="A11" s="19" t="s">
        <v>216</v>
      </c>
      <c r="B11" s="17" t="s">
        <v>217</v>
      </c>
      <c r="C11" s="17"/>
      <c r="D11" s="17"/>
      <c r="E11" s="19" t="s">
        <v>216</v>
      </c>
      <c r="F11" s="17" t="s">
        <v>218</v>
      </c>
      <c r="G11" s="17"/>
    </row>
    <row r="12" spans="1:7" x14ac:dyDescent="0.3">
      <c r="A12" s="19" t="s">
        <v>219</v>
      </c>
      <c r="B12" s="17" t="s">
        <v>124</v>
      </c>
      <c r="C12" s="17"/>
      <c r="D12" s="17"/>
      <c r="E12" s="19" t="s">
        <v>220</v>
      </c>
      <c r="F12" s="17" t="s">
        <v>221</v>
      </c>
      <c r="G12" s="17"/>
    </row>
    <row r="13" spans="1:7" x14ac:dyDescent="0.3">
      <c r="A13" s="17"/>
      <c r="B13" s="17"/>
      <c r="C13" s="17"/>
      <c r="D13" s="17"/>
      <c r="E13" s="17"/>
      <c r="F13" s="17"/>
      <c r="G13" s="17"/>
    </row>
    <row r="14" spans="1:7" x14ac:dyDescent="0.3">
      <c r="A14" s="17"/>
      <c r="B14" s="17"/>
      <c r="C14" s="17"/>
      <c r="D14" s="17"/>
      <c r="E14" s="17"/>
      <c r="F14" s="17"/>
      <c r="G14" s="17"/>
    </row>
    <row r="15" spans="1:7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</row>
    <row r="16" spans="1:7" x14ac:dyDescent="0.3">
      <c r="A16" s="22">
        <v>1</v>
      </c>
      <c r="B16" s="23" t="s">
        <v>122</v>
      </c>
      <c r="C16" s="23" t="s">
        <v>121</v>
      </c>
      <c r="D16" s="22">
        <v>10</v>
      </c>
      <c r="E16" s="22" t="s">
        <v>79</v>
      </c>
      <c r="F16" s="24">
        <v>2</v>
      </c>
      <c r="G16" s="24">
        <f t="shared" ref="G16:G23" si="0">D16*F16</f>
        <v>20</v>
      </c>
    </row>
    <row r="17" spans="1:7" x14ac:dyDescent="0.3">
      <c r="A17" s="25">
        <v>2</v>
      </c>
      <c r="B17" s="26" t="s">
        <v>128</v>
      </c>
      <c r="C17" s="26" t="s">
        <v>127</v>
      </c>
      <c r="D17" s="25">
        <v>10</v>
      </c>
      <c r="E17" s="25" t="s">
        <v>79</v>
      </c>
      <c r="F17" s="27">
        <v>8</v>
      </c>
      <c r="G17" s="27">
        <f t="shared" si="0"/>
        <v>80</v>
      </c>
    </row>
    <row r="18" spans="1:7" x14ac:dyDescent="0.3">
      <c r="A18" s="22">
        <v>3</v>
      </c>
      <c r="B18" s="23" t="s">
        <v>132</v>
      </c>
      <c r="C18" s="23" t="s">
        <v>131</v>
      </c>
      <c r="D18" s="22">
        <v>10</v>
      </c>
      <c r="E18" s="22" t="s">
        <v>79</v>
      </c>
      <c r="F18" s="24">
        <v>3</v>
      </c>
      <c r="G18" s="24">
        <f t="shared" si="0"/>
        <v>30</v>
      </c>
    </row>
    <row r="19" spans="1:7" x14ac:dyDescent="0.3">
      <c r="A19" s="25">
        <v>4</v>
      </c>
      <c r="B19" s="26" t="s">
        <v>136</v>
      </c>
      <c r="C19" s="26" t="s">
        <v>135</v>
      </c>
      <c r="D19" s="25">
        <v>10</v>
      </c>
      <c r="E19" s="25" t="s">
        <v>79</v>
      </c>
      <c r="F19" s="27">
        <v>4</v>
      </c>
      <c r="G19" s="27">
        <f t="shared" si="0"/>
        <v>40</v>
      </c>
    </row>
    <row r="20" spans="1:7" x14ac:dyDescent="0.3">
      <c r="A20" s="22">
        <v>5</v>
      </c>
      <c r="B20" s="23" t="s">
        <v>140</v>
      </c>
      <c r="C20" s="23" t="s">
        <v>139</v>
      </c>
      <c r="D20" s="22">
        <v>5</v>
      </c>
      <c r="E20" s="22" t="s">
        <v>141</v>
      </c>
      <c r="F20" s="24">
        <v>6</v>
      </c>
      <c r="G20" s="24">
        <f t="shared" si="0"/>
        <v>30</v>
      </c>
    </row>
    <row r="21" spans="1:7" x14ac:dyDescent="0.3">
      <c r="A21" s="25">
        <v>6</v>
      </c>
      <c r="B21" s="26" t="s">
        <v>144</v>
      </c>
      <c r="C21" s="26" t="s">
        <v>143</v>
      </c>
      <c r="D21" s="25">
        <v>3</v>
      </c>
      <c r="E21" s="25" t="s">
        <v>141</v>
      </c>
      <c r="F21" s="27">
        <v>10</v>
      </c>
      <c r="G21" s="27">
        <f t="shared" si="0"/>
        <v>30</v>
      </c>
    </row>
    <row r="22" spans="1:7" x14ac:dyDescent="0.3">
      <c r="A22" s="22">
        <v>7</v>
      </c>
      <c r="B22" s="23" t="s">
        <v>140</v>
      </c>
      <c r="C22" s="23" t="s">
        <v>139</v>
      </c>
      <c r="D22" s="22">
        <v>5</v>
      </c>
      <c r="E22" s="22" t="s">
        <v>141</v>
      </c>
      <c r="F22" s="24">
        <v>6</v>
      </c>
      <c r="G22" s="24">
        <f t="shared" si="0"/>
        <v>30</v>
      </c>
    </row>
    <row r="23" spans="1:7" x14ac:dyDescent="0.3">
      <c r="A23" s="25">
        <v>8</v>
      </c>
      <c r="B23" s="26" t="s">
        <v>144</v>
      </c>
      <c r="C23" s="26" t="s">
        <v>143</v>
      </c>
      <c r="D23" s="25">
        <v>3</v>
      </c>
      <c r="E23" s="25" t="s">
        <v>141</v>
      </c>
      <c r="F23" s="27">
        <v>10</v>
      </c>
      <c r="G23" s="27">
        <f t="shared" si="0"/>
        <v>30</v>
      </c>
    </row>
    <row r="24" spans="1:7" x14ac:dyDescent="0.3">
      <c r="A24" s="28"/>
      <c r="B24" s="28"/>
      <c r="C24" s="28"/>
      <c r="D24" s="22"/>
      <c r="E24" s="28"/>
      <c r="F24" s="28"/>
      <c r="G24" s="29"/>
    </row>
    <row r="25" spans="1:7" x14ac:dyDescent="0.3">
      <c r="A25" s="30"/>
      <c r="B25" s="30"/>
      <c r="C25" s="30"/>
      <c r="D25" s="25"/>
      <c r="E25" s="30"/>
      <c r="F25" s="30"/>
      <c r="G25" s="31"/>
    </row>
    <row r="26" spans="1:7" x14ac:dyDescent="0.3">
      <c r="A26" s="28"/>
      <c r="B26" s="28"/>
      <c r="C26" s="28"/>
      <c r="D26" s="22"/>
      <c r="E26" s="28"/>
      <c r="F26" s="28"/>
      <c r="G26" s="29"/>
    </row>
    <row r="27" spans="1:7" x14ac:dyDescent="0.3">
      <c r="A27" s="30"/>
      <c r="B27" s="30"/>
      <c r="C27" s="30"/>
      <c r="D27" s="25"/>
      <c r="E27" s="30"/>
      <c r="F27" s="30"/>
      <c r="G27" s="31"/>
    </row>
    <row r="28" spans="1:7" x14ac:dyDescent="0.3">
      <c r="A28" s="28"/>
      <c r="B28" s="28"/>
      <c r="C28" s="28"/>
      <c r="D28" s="22"/>
      <c r="E28" s="28"/>
      <c r="F28" s="28"/>
      <c r="G28" s="29"/>
    </row>
    <row r="29" spans="1:7" x14ac:dyDescent="0.3">
      <c r="A29" s="30"/>
      <c r="B29" s="30"/>
      <c r="C29" s="30"/>
      <c r="D29" s="25"/>
      <c r="E29" s="30"/>
      <c r="F29" s="30"/>
      <c r="G29" s="31"/>
    </row>
    <row r="30" spans="1:7" x14ac:dyDescent="0.3">
      <c r="A30" s="17"/>
      <c r="B30" s="17"/>
      <c r="C30" s="17"/>
      <c r="D30" s="17"/>
      <c r="E30" s="17"/>
      <c r="F30" s="17"/>
      <c r="G30" s="17"/>
    </row>
    <row r="31" spans="1:7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290</v>
      </c>
    </row>
    <row r="32" spans="1:7" x14ac:dyDescent="0.3">
      <c r="A32" s="17"/>
      <c r="B32" s="17"/>
      <c r="C32" s="17"/>
      <c r="D32" s="17"/>
      <c r="E32" s="17"/>
      <c r="F32" s="32" t="s">
        <v>228</v>
      </c>
      <c r="G32" s="33">
        <f>G31*0.16</f>
        <v>46.4</v>
      </c>
    </row>
    <row r="33" spans="1:7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336.4</v>
      </c>
    </row>
  </sheetData>
  <mergeCells count="3">
    <mergeCell ref="A8:C8"/>
    <mergeCell ref="E8:G8"/>
    <mergeCell ref="A1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3"/>
  <sheetViews>
    <sheetView workbookViewId="0"/>
  </sheetViews>
  <sheetFormatPr baseColWidth="10" defaultColWidth="8.88671875" defaultRowHeight="14.4" x14ac:dyDescent="0.3"/>
  <cols>
    <col min="1" max="1" width="58" customWidth="1"/>
    <col min="2" max="2" width="41" customWidth="1"/>
    <col min="3" max="3" width="34" customWidth="1"/>
    <col min="4" max="4" width="13" customWidth="1"/>
    <col min="5" max="5" width="14" customWidth="1"/>
    <col min="6" max="6" width="34" customWidth="1"/>
    <col min="7" max="7" width="17" customWidth="1"/>
  </cols>
  <sheetData>
    <row r="1" spans="1:7" x14ac:dyDescent="0.3">
      <c r="A1" s="40" t="s">
        <v>200</v>
      </c>
      <c r="B1" s="36"/>
      <c r="C1" s="36"/>
      <c r="D1" s="36"/>
      <c r="E1" s="36"/>
      <c r="F1" s="36"/>
      <c r="G1" s="36"/>
    </row>
    <row r="2" spans="1:7" x14ac:dyDescent="0.3">
      <c r="A2" s="36"/>
      <c r="B2" s="36"/>
      <c r="C2" s="36"/>
      <c r="D2" s="36"/>
      <c r="E2" s="36"/>
      <c r="F2" s="36"/>
      <c r="G2" s="36"/>
    </row>
    <row r="3" spans="1:7" x14ac:dyDescent="0.3">
      <c r="A3" s="17"/>
      <c r="B3" s="17"/>
      <c r="C3" s="17"/>
      <c r="D3" s="17"/>
      <c r="E3" s="17"/>
      <c r="F3" s="17"/>
      <c r="G3" s="17"/>
    </row>
    <row r="4" spans="1:7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34</v>
      </c>
    </row>
    <row r="5" spans="1:7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7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7" x14ac:dyDescent="0.3">
      <c r="A7" s="17"/>
      <c r="B7" s="17"/>
      <c r="C7" s="17"/>
      <c r="D7" s="17"/>
      <c r="E7" s="17"/>
      <c r="F7" s="17"/>
      <c r="G7" s="17"/>
    </row>
    <row r="8" spans="1:7" x14ac:dyDescent="0.3">
      <c r="A8" s="39" t="s">
        <v>210</v>
      </c>
      <c r="B8" s="36"/>
      <c r="C8" s="36"/>
      <c r="D8" s="17"/>
      <c r="E8" s="39" t="s">
        <v>211</v>
      </c>
      <c r="F8" s="36"/>
      <c r="G8" s="36"/>
    </row>
    <row r="9" spans="1:7" x14ac:dyDescent="0.3">
      <c r="A9" s="19" t="s">
        <v>212</v>
      </c>
      <c r="B9" s="18" t="s">
        <v>33</v>
      </c>
      <c r="C9" s="17"/>
      <c r="D9" s="17"/>
      <c r="E9" s="19" t="s">
        <v>212</v>
      </c>
      <c r="F9" s="18" t="s">
        <v>201</v>
      </c>
      <c r="G9" s="17"/>
    </row>
    <row r="10" spans="1:7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</row>
    <row r="11" spans="1:7" x14ac:dyDescent="0.3">
      <c r="A11" s="19" t="s">
        <v>216</v>
      </c>
      <c r="B11" s="17" t="s">
        <v>232</v>
      </c>
      <c r="C11" s="17"/>
      <c r="D11" s="17"/>
      <c r="E11" s="19" t="s">
        <v>216</v>
      </c>
      <c r="F11" s="17" t="s">
        <v>218</v>
      </c>
      <c r="G11" s="17"/>
    </row>
    <row r="12" spans="1:7" x14ac:dyDescent="0.3">
      <c r="A12" s="19" t="s">
        <v>219</v>
      </c>
      <c r="B12" s="17" t="s">
        <v>161</v>
      </c>
      <c r="C12" s="17"/>
      <c r="D12" s="17"/>
      <c r="E12" s="19" t="s">
        <v>220</v>
      </c>
      <c r="F12" s="17" t="s">
        <v>221</v>
      </c>
      <c r="G12" s="17"/>
    </row>
    <row r="13" spans="1:7" x14ac:dyDescent="0.3">
      <c r="A13" s="17"/>
      <c r="B13" s="17"/>
      <c r="C13" s="17"/>
      <c r="D13" s="17"/>
      <c r="E13" s="17"/>
      <c r="F13" s="17"/>
      <c r="G13" s="17"/>
    </row>
    <row r="14" spans="1:7" x14ac:dyDescent="0.3">
      <c r="A14" s="17"/>
      <c r="B14" s="17"/>
      <c r="C14" s="17"/>
      <c r="D14" s="17"/>
      <c r="E14" s="17"/>
      <c r="F14" s="17"/>
      <c r="G14" s="17"/>
    </row>
    <row r="15" spans="1:7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</row>
    <row r="16" spans="1:7" x14ac:dyDescent="0.3">
      <c r="A16" s="22">
        <v>1</v>
      </c>
      <c r="B16" s="23" t="s">
        <v>159</v>
      </c>
      <c r="C16" s="23" t="s">
        <v>158</v>
      </c>
      <c r="D16" s="22">
        <v>3</v>
      </c>
      <c r="E16" s="22" t="s">
        <v>79</v>
      </c>
      <c r="F16" s="24">
        <v>568.9</v>
      </c>
      <c r="G16" s="24">
        <f>D16*F16</f>
        <v>1706.6999999999998</v>
      </c>
    </row>
    <row r="17" spans="1:7" x14ac:dyDescent="0.3">
      <c r="A17" s="25">
        <v>2</v>
      </c>
      <c r="B17" s="26" t="s">
        <v>165</v>
      </c>
      <c r="C17" s="26" t="s">
        <v>164</v>
      </c>
      <c r="D17" s="25">
        <v>3</v>
      </c>
      <c r="E17" s="25" t="s">
        <v>79</v>
      </c>
      <c r="F17" s="27">
        <v>483.4</v>
      </c>
      <c r="G17" s="27">
        <f>D17*F17</f>
        <v>1450.1999999999998</v>
      </c>
    </row>
    <row r="18" spans="1:7" x14ac:dyDescent="0.3">
      <c r="A18" s="28"/>
      <c r="B18" s="28"/>
      <c r="C18" s="28"/>
      <c r="D18" s="22"/>
      <c r="E18" s="28"/>
      <c r="F18" s="28"/>
      <c r="G18" s="29"/>
    </row>
    <row r="19" spans="1:7" x14ac:dyDescent="0.3">
      <c r="A19" s="30"/>
      <c r="B19" s="30"/>
      <c r="C19" s="30"/>
      <c r="D19" s="25"/>
      <c r="E19" s="30"/>
      <c r="F19" s="30"/>
      <c r="G19" s="31"/>
    </row>
    <row r="20" spans="1:7" x14ac:dyDescent="0.3">
      <c r="A20" s="28"/>
      <c r="B20" s="28"/>
      <c r="C20" s="28"/>
      <c r="D20" s="22"/>
      <c r="E20" s="28"/>
      <c r="F20" s="28"/>
      <c r="G20" s="29"/>
    </row>
    <row r="21" spans="1:7" x14ac:dyDescent="0.3">
      <c r="A21" s="30"/>
      <c r="B21" s="30"/>
      <c r="C21" s="30"/>
      <c r="D21" s="25"/>
      <c r="E21" s="30"/>
      <c r="F21" s="30"/>
      <c r="G21" s="31"/>
    </row>
    <row r="22" spans="1:7" x14ac:dyDescent="0.3">
      <c r="A22" s="28"/>
      <c r="B22" s="28"/>
      <c r="C22" s="28"/>
      <c r="D22" s="22"/>
      <c r="E22" s="28"/>
      <c r="F22" s="28"/>
      <c r="G22" s="29"/>
    </row>
    <row r="23" spans="1:7" x14ac:dyDescent="0.3">
      <c r="A23" s="30"/>
      <c r="B23" s="30"/>
      <c r="C23" s="30"/>
      <c r="D23" s="25"/>
      <c r="E23" s="30"/>
      <c r="F23" s="30"/>
      <c r="G23" s="31"/>
    </row>
    <row r="24" spans="1:7" x14ac:dyDescent="0.3">
      <c r="A24" s="28"/>
      <c r="B24" s="28"/>
      <c r="C24" s="28"/>
      <c r="D24" s="22"/>
      <c r="E24" s="28"/>
      <c r="F24" s="28"/>
      <c r="G24" s="29"/>
    </row>
    <row r="25" spans="1:7" x14ac:dyDescent="0.3">
      <c r="A25" s="30"/>
      <c r="B25" s="30"/>
      <c r="C25" s="30"/>
      <c r="D25" s="25"/>
      <c r="E25" s="30"/>
      <c r="F25" s="30"/>
      <c r="G25" s="31"/>
    </row>
    <row r="26" spans="1:7" x14ac:dyDescent="0.3">
      <c r="A26" s="28"/>
      <c r="B26" s="28"/>
      <c r="C26" s="28"/>
      <c r="D26" s="22"/>
      <c r="E26" s="28"/>
      <c r="F26" s="28"/>
      <c r="G26" s="29"/>
    </row>
    <row r="27" spans="1:7" x14ac:dyDescent="0.3">
      <c r="A27" s="30"/>
      <c r="B27" s="30"/>
      <c r="C27" s="30"/>
      <c r="D27" s="25"/>
      <c r="E27" s="30"/>
      <c r="F27" s="30"/>
      <c r="G27" s="31"/>
    </row>
    <row r="28" spans="1:7" x14ac:dyDescent="0.3">
      <c r="A28" s="28"/>
      <c r="B28" s="28"/>
      <c r="C28" s="28"/>
      <c r="D28" s="22"/>
      <c r="E28" s="28"/>
      <c r="F28" s="28"/>
      <c r="G28" s="29"/>
    </row>
    <row r="29" spans="1:7" x14ac:dyDescent="0.3">
      <c r="A29" s="30"/>
      <c r="B29" s="30"/>
      <c r="C29" s="30"/>
      <c r="D29" s="25"/>
      <c r="E29" s="30"/>
      <c r="F29" s="30"/>
      <c r="G29" s="31"/>
    </row>
    <row r="30" spans="1:7" x14ac:dyDescent="0.3">
      <c r="A30" s="17"/>
      <c r="B30" s="17"/>
      <c r="C30" s="17"/>
      <c r="D30" s="17"/>
      <c r="E30" s="17"/>
      <c r="F30" s="17"/>
      <c r="G30" s="17"/>
    </row>
    <row r="31" spans="1:7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3156.8999999999996</v>
      </c>
    </row>
    <row r="32" spans="1:7" x14ac:dyDescent="0.3">
      <c r="A32" s="17"/>
      <c r="B32" s="17"/>
      <c r="C32" s="17"/>
      <c r="D32" s="17"/>
      <c r="E32" s="17"/>
      <c r="F32" s="32" t="s">
        <v>228</v>
      </c>
      <c r="G32" s="33">
        <f>G31*0.16</f>
        <v>505.10399999999993</v>
      </c>
    </row>
    <row r="33" spans="1:7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3662.0039999999995</v>
      </c>
    </row>
  </sheetData>
  <mergeCells count="3">
    <mergeCell ref="A8:C8"/>
    <mergeCell ref="E8:G8"/>
    <mergeCell ref="A1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3"/>
  <sheetViews>
    <sheetView workbookViewId="0"/>
  </sheetViews>
  <sheetFormatPr baseColWidth="10" defaultColWidth="8.88671875" defaultRowHeight="14.4" x14ac:dyDescent="0.3"/>
  <cols>
    <col min="1" max="1" width="58" customWidth="1"/>
    <col min="2" max="2" width="29" customWidth="1"/>
    <col min="3" max="3" width="15" customWidth="1"/>
    <col min="4" max="4" width="13" customWidth="1"/>
    <col min="5" max="5" width="14" customWidth="1"/>
    <col min="6" max="6" width="34" customWidth="1"/>
    <col min="7" max="7" width="17" customWidth="1"/>
  </cols>
  <sheetData>
    <row r="1" spans="1:7" x14ac:dyDescent="0.3">
      <c r="A1" s="40" t="s">
        <v>200</v>
      </c>
      <c r="B1" s="36"/>
      <c r="C1" s="36"/>
      <c r="D1" s="36"/>
      <c r="E1" s="36"/>
      <c r="F1" s="36"/>
      <c r="G1" s="36"/>
    </row>
    <row r="2" spans="1:7" x14ac:dyDescent="0.3">
      <c r="A2" s="36"/>
      <c r="B2" s="36"/>
      <c r="C2" s="36"/>
      <c r="D2" s="36"/>
      <c r="E2" s="36"/>
      <c r="F2" s="36"/>
      <c r="G2" s="36"/>
    </row>
    <row r="3" spans="1:7" x14ac:dyDescent="0.3">
      <c r="A3" s="17"/>
      <c r="B3" s="17"/>
      <c r="C3" s="17"/>
      <c r="D3" s="17"/>
      <c r="E3" s="17"/>
      <c r="F3" s="17"/>
      <c r="G3" s="17"/>
    </row>
    <row r="4" spans="1:7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36</v>
      </c>
    </row>
    <row r="5" spans="1:7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7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7" x14ac:dyDescent="0.3">
      <c r="A7" s="17"/>
      <c r="B7" s="17"/>
      <c r="C7" s="17"/>
      <c r="D7" s="17"/>
      <c r="E7" s="17"/>
      <c r="F7" s="17"/>
      <c r="G7" s="17"/>
    </row>
    <row r="8" spans="1:7" x14ac:dyDescent="0.3">
      <c r="A8" s="39" t="s">
        <v>210</v>
      </c>
      <c r="B8" s="36"/>
      <c r="C8" s="36"/>
      <c r="D8" s="17"/>
      <c r="E8" s="39" t="s">
        <v>211</v>
      </c>
      <c r="F8" s="36"/>
      <c r="G8" s="36"/>
    </row>
    <row r="9" spans="1:7" x14ac:dyDescent="0.3">
      <c r="A9" s="19" t="s">
        <v>212</v>
      </c>
      <c r="B9" s="18" t="s">
        <v>35</v>
      </c>
      <c r="C9" s="17"/>
      <c r="D9" s="17"/>
      <c r="E9" s="19" t="s">
        <v>212</v>
      </c>
      <c r="F9" s="18" t="s">
        <v>201</v>
      </c>
      <c r="G9" s="17"/>
    </row>
    <row r="10" spans="1:7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</row>
    <row r="11" spans="1:7" x14ac:dyDescent="0.3">
      <c r="A11" s="19" t="s">
        <v>216</v>
      </c>
      <c r="B11" s="17" t="s">
        <v>217</v>
      </c>
      <c r="C11" s="17"/>
      <c r="D11" s="17"/>
      <c r="E11" s="19" t="s">
        <v>216</v>
      </c>
      <c r="F11" s="17" t="s">
        <v>218</v>
      </c>
      <c r="G11" s="17"/>
    </row>
    <row r="12" spans="1:7" x14ac:dyDescent="0.3">
      <c r="A12" s="19" t="s">
        <v>219</v>
      </c>
      <c r="B12" s="17" t="s">
        <v>172</v>
      </c>
      <c r="C12" s="17"/>
      <c r="D12" s="17"/>
      <c r="E12" s="19" t="s">
        <v>220</v>
      </c>
      <c r="F12" s="17" t="s">
        <v>221</v>
      </c>
      <c r="G12" s="17"/>
    </row>
    <row r="13" spans="1:7" x14ac:dyDescent="0.3">
      <c r="A13" s="17"/>
      <c r="B13" s="17"/>
      <c r="C13" s="17"/>
      <c r="D13" s="17"/>
      <c r="E13" s="17"/>
      <c r="F13" s="17"/>
      <c r="G13" s="17"/>
    </row>
    <row r="14" spans="1:7" x14ac:dyDescent="0.3">
      <c r="A14" s="17"/>
      <c r="B14" s="17"/>
      <c r="C14" s="17"/>
      <c r="D14" s="17"/>
      <c r="E14" s="17"/>
      <c r="F14" s="17"/>
      <c r="G14" s="17"/>
    </row>
    <row r="15" spans="1:7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</row>
    <row r="16" spans="1:7" x14ac:dyDescent="0.3">
      <c r="A16" s="22">
        <v>1</v>
      </c>
      <c r="B16" s="23" t="s">
        <v>171</v>
      </c>
      <c r="C16" s="23" t="s">
        <v>170</v>
      </c>
      <c r="D16" s="22">
        <v>1</v>
      </c>
      <c r="E16" s="22" t="s">
        <v>79</v>
      </c>
      <c r="F16" s="24">
        <v>199</v>
      </c>
      <c r="G16" s="24">
        <f>D16*F16</f>
        <v>199</v>
      </c>
    </row>
    <row r="17" spans="1:7" x14ac:dyDescent="0.3">
      <c r="A17" s="30"/>
      <c r="B17" s="30"/>
      <c r="C17" s="30"/>
      <c r="D17" s="25"/>
      <c r="E17" s="30"/>
      <c r="F17" s="30"/>
      <c r="G17" s="31"/>
    </row>
    <row r="18" spans="1:7" x14ac:dyDescent="0.3">
      <c r="A18" s="28"/>
      <c r="B18" s="28"/>
      <c r="C18" s="28"/>
      <c r="D18" s="22"/>
      <c r="E18" s="28"/>
      <c r="F18" s="28"/>
      <c r="G18" s="29"/>
    </row>
    <row r="19" spans="1:7" x14ac:dyDescent="0.3">
      <c r="A19" s="30"/>
      <c r="B19" s="30"/>
      <c r="C19" s="30"/>
      <c r="D19" s="25"/>
      <c r="E19" s="30"/>
      <c r="F19" s="30"/>
      <c r="G19" s="31"/>
    </row>
    <row r="20" spans="1:7" x14ac:dyDescent="0.3">
      <c r="A20" s="28"/>
      <c r="B20" s="28"/>
      <c r="C20" s="28"/>
      <c r="D20" s="22"/>
      <c r="E20" s="28"/>
      <c r="F20" s="28"/>
      <c r="G20" s="29"/>
    </row>
    <row r="21" spans="1:7" x14ac:dyDescent="0.3">
      <c r="A21" s="30"/>
      <c r="B21" s="30"/>
      <c r="C21" s="30"/>
      <c r="D21" s="25"/>
      <c r="E21" s="30"/>
      <c r="F21" s="30"/>
      <c r="G21" s="31"/>
    </row>
    <row r="22" spans="1:7" x14ac:dyDescent="0.3">
      <c r="A22" s="28"/>
      <c r="B22" s="28"/>
      <c r="C22" s="28"/>
      <c r="D22" s="22"/>
      <c r="E22" s="28"/>
      <c r="F22" s="28"/>
      <c r="G22" s="29"/>
    </row>
    <row r="23" spans="1:7" x14ac:dyDescent="0.3">
      <c r="A23" s="30"/>
      <c r="B23" s="30"/>
      <c r="C23" s="30"/>
      <c r="D23" s="25"/>
      <c r="E23" s="30"/>
      <c r="F23" s="30"/>
      <c r="G23" s="31"/>
    </row>
    <row r="24" spans="1:7" x14ac:dyDescent="0.3">
      <c r="A24" s="28"/>
      <c r="B24" s="28"/>
      <c r="C24" s="28"/>
      <c r="D24" s="22"/>
      <c r="E24" s="28"/>
      <c r="F24" s="28"/>
      <c r="G24" s="29"/>
    </row>
    <row r="25" spans="1:7" x14ac:dyDescent="0.3">
      <c r="A25" s="30"/>
      <c r="B25" s="30"/>
      <c r="C25" s="30"/>
      <c r="D25" s="25"/>
      <c r="E25" s="30"/>
      <c r="F25" s="30"/>
      <c r="G25" s="31"/>
    </row>
    <row r="26" spans="1:7" x14ac:dyDescent="0.3">
      <c r="A26" s="28"/>
      <c r="B26" s="28"/>
      <c r="C26" s="28"/>
      <c r="D26" s="22"/>
      <c r="E26" s="28"/>
      <c r="F26" s="28"/>
      <c r="G26" s="29"/>
    </row>
    <row r="27" spans="1:7" x14ac:dyDescent="0.3">
      <c r="A27" s="30"/>
      <c r="B27" s="30"/>
      <c r="C27" s="30"/>
      <c r="D27" s="25"/>
      <c r="E27" s="30"/>
      <c r="F27" s="30"/>
      <c r="G27" s="31"/>
    </row>
    <row r="28" spans="1:7" x14ac:dyDescent="0.3">
      <c r="A28" s="28"/>
      <c r="B28" s="28"/>
      <c r="C28" s="28"/>
      <c r="D28" s="22"/>
      <c r="E28" s="28"/>
      <c r="F28" s="28"/>
      <c r="G28" s="29"/>
    </row>
    <row r="29" spans="1:7" x14ac:dyDescent="0.3">
      <c r="A29" s="30"/>
      <c r="B29" s="30"/>
      <c r="C29" s="30"/>
      <c r="D29" s="25"/>
      <c r="E29" s="30"/>
      <c r="F29" s="30"/>
      <c r="G29" s="31"/>
    </row>
    <row r="30" spans="1:7" x14ac:dyDescent="0.3">
      <c r="A30" s="17"/>
      <c r="B30" s="17"/>
      <c r="C30" s="17"/>
      <c r="D30" s="17"/>
      <c r="E30" s="17"/>
      <c r="F30" s="17"/>
      <c r="G30" s="17"/>
    </row>
    <row r="31" spans="1:7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199</v>
      </c>
    </row>
    <row r="32" spans="1:7" x14ac:dyDescent="0.3">
      <c r="A32" s="17"/>
      <c r="B32" s="17"/>
      <c r="C32" s="17"/>
      <c r="D32" s="17"/>
      <c r="E32" s="17"/>
      <c r="F32" s="32" t="s">
        <v>228</v>
      </c>
      <c r="G32" s="33">
        <f>G31*0.16</f>
        <v>31.84</v>
      </c>
    </row>
    <row r="33" spans="1:7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230.84</v>
      </c>
    </row>
  </sheetData>
  <mergeCells count="3">
    <mergeCell ref="A8:C8"/>
    <mergeCell ref="E8:G8"/>
    <mergeCell ref="A1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3"/>
  <sheetViews>
    <sheetView workbookViewId="0"/>
  </sheetViews>
  <sheetFormatPr baseColWidth="10" defaultColWidth="8.88671875" defaultRowHeight="14.4" x14ac:dyDescent="0.3"/>
  <cols>
    <col min="1" max="1" width="58" customWidth="1"/>
    <col min="2" max="2" width="29" customWidth="1"/>
    <col min="3" max="3" width="21" customWidth="1"/>
    <col min="4" max="4" width="13" customWidth="1"/>
    <col min="5" max="5" width="17" customWidth="1"/>
    <col min="6" max="6" width="34" customWidth="1"/>
    <col min="7" max="7" width="17" customWidth="1"/>
  </cols>
  <sheetData>
    <row r="1" spans="1:7" x14ac:dyDescent="0.3">
      <c r="A1" s="40" t="s">
        <v>200</v>
      </c>
      <c r="B1" s="36"/>
      <c r="C1" s="36"/>
      <c r="D1" s="36"/>
      <c r="E1" s="36"/>
      <c r="F1" s="36"/>
      <c r="G1" s="36"/>
    </row>
    <row r="2" spans="1:7" x14ac:dyDescent="0.3">
      <c r="A2" s="36"/>
      <c r="B2" s="36"/>
      <c r="C2" s="36"/>
      <c r="D2" s="36"/>
      <c r="E2" s="36"/>
      <c r="F2" s="36"/>
      <c r="G2" s="36"/>
    </row>
    <row r="3" spans="1:7" x14ac:dyDescent="0.3">
      <c r="A3" s="17"/>
      <c r="B3" s="17"/>
      <c r="C3" s="17"/>
      <c r="D3" s="17"/>
      <c r="E3" s="17"/>
      <c r="F3" s="17"/>
      <c r="G3" s="17"/>
    </row>
    <row r="4" spans="1:7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38</v>
      </c>
    </row>
    <row r="5" spans="1:7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7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7" x14ac:dyDescent="0.3">
      <c r="A7" s="17"/>
      <c r="B7" s="17"/>
      <c r="C7" s="17"/>
      <c r="D7" s="17"/>
      <c r="E7" s="17"/>
      <c r="F7" s="17"/>
      <c r="G7" s="17"/>
    </row>
    <row r="8" spans="1:7" x14ac:dyDescent="0.3">
      <c r="A8" s="39" t="s">
        <v>210</v>
      </c>
      <c r="B8" s="36"/>
      <c r="C8" s="36"/>
      <c r="D8" s="17"/>
      <c r="E8" s="39" t="s">
        <v>211</v>
      </c>
      <c r="F8" s="36"/>
      <c r="G8" s="36"/>
    </row>
    <row r="9" spans="1:7" x14ac:dyDescent="0.3">
      <c r="A9" s="19" t="s">
        <v>212</v>
      </c>
      <c r="B9" s="18" t="s">
        <v>37</v>
      </c>
      <c r="C9" s="17"/>
      <c r="D9" s="17"/>
      <c r="E9" s="19" t="s">
        <v>212</v>
      </c>
      <c r="F9" s="18" t="s">
        <v>201</v>
      </c>
      <c r="G9" s="17"/>
    </row>
    <row r="10" spans="1:7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</row>
    <row r="11" spans="1:7" x14ac:dyDescent="0.3">
      <c r="A11" s="19" t="s">
        <v>216</v>
      </c>
      <c r="B11" s="17" t="s">
        <v>217</v>
      </c>
      <c r="C11" s="17"/>
      <c r="D11" s="17"/>
      <c r="E11" s="19" t="s">
        <v>216</v>
      </c>
      <c r="F11" s="17" t="s">
        <v>218</v>
      </c>
      <c r="G11" s="17"/>
    </row>
    <row r="12" spans="1:7" x14ac:dyDescent="0.3">
      <c r="A12" s="19" t="s">
        <v>219</v>
      </c>
      <c r="B12" s="17" t="s">
        <v>185</v>
      </c>
      <c r="C12" s="17"/>
      <c r="D12" s="17"/>
      <c r="E12" s="19" t="s">
        <v>220</v>
      </c>
      <c r="F12" s="17" t="s">
        <v>221</v>
      </c>
      <c r="G12" s="17"/>
    </row>
    <row r="13" spans="1:7" x14ac:dyDescent="0.3">
      <c r="A13" s="17"/>
      <c r="B13" s="17"/>
      <c r="C13" s="17"/>
      <c r="D13" s="17"/>
      <c r="E13" s="17"/>
      <c r="F13" s="17"/>
      <c r="G13" s="17"/>
    </row>
    <row r="14" spans="1:7" x14ac:dyDescent="0.3">
      <c r="A14" s="17"/>
      <c r="B14" s="17"/>
      <c r="C14" s="17"/>
      <c r="D14" s="17"/>
      <c r="E14" s="17"/>
      <c r="F14" s="17"/>
      <c r="G14" s="17"/>
    </row>
    <row r="15" spans="1:7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</row>
    <row r="16" spans="1:7" x14ac:dyDescent="0.3">
      <c r="A16" s="22">
        <v>1</v>
      </c>
      <c r="B16" s="23" t="s">
        <v>183</v>
      </c>
      <c r="C16" s="23" t="s">
        <v>182</v>
      </c>
      <c r="D16" s="22">
        <v>4</v>
      </c>
      <c r="E16" s="22" t="s">
        <v>184</v>
      </c>
      <c r="F16" s="24">
        <v>680.22</v>
      </c>
      <c r="G16" s="24">
        <f>D16*F16</f>
        <v>2720.88</v>
      </c>
    </row>
    <row r="17" spans="1:7" x14ac:dyDescent="0.3">
      <c r="A17" s="30"/>
      <c r="B17" s="30"/>
      <c r="C17" s="30"/>
      <c r="D17" s="25"/>
      <c r="E17" s="30"/>
      <c r="F17" s="30"/>
      <c r="G17" s="31"/>
    </row>
    <row r="18" spans="1:7" x14ac:dyDescent="0.3">
      <c r="A18" s="28"/>
      <c r="B18" s="28"/>
      <c r="C18" s="28"/>
      <c r="D18" s="22"/>
      <c r="E18" s="28"/>
      <c r="F18" s="28"/>
      <c r="G18" s="29"/>
    </row>
    <row r="19" spans="1:7" x14ac:dyDescent="0.3">
      <c r="A19" s="30"/>
      <c r="B19" s="30"/>
      <c r="C19" s="30"/>
      <c r="D19" s="25"/>
      <c r="E19" s="30"/>
      <c r="F19" s="30"/>
      <c r="G19" s="31"/>
    </row>
    <row r="20" spans="1:7" x14ac:dyDescent="0.3">
      <c r="A20" s="28"/>
      <c r="B20" s="28"/>
      <c r="C20" s="28"/>
      <c r="D20" s="22"/>
      <c r="E20" s="28"/>
      <c r="F20" s="28"/>
      <c r="G20" s="29"/>
    </row>
    <row r="21" spans="1:7" x14ac:dyDescent="0.3">
      <c r="A21" s="30"/>
      <c r="B21" s="30"/>
      <c r="C21" s="30"/>
      <c r="D21" s="25"/>
      <c r="E21" s="30"/>
      <c r="F21" s="30"/>
      <c r="G21" s="31"/>
    </row>
    <row r="22" spans="1:7" x14ac:dyDescent="0.3">
      <c r="A22" s="28"/>
      <c r="B22" s="28"/>
      <c r="C22" s="28"/>
      <c r="D22" s="22"/>
      <c r="E22" s="28"/>
      <c r="F22" s="28"/>
      <c r="G22" s="29"/>
    </row>
    <row r="23" spans="1:7" x14ac:dyDescent="0.3">
      <c r="A23" s="30"/>
      <c r="B23" s="30"/>
      <c r="C23" s="30"/>
      <c r="D23" s="25"/>
      <c r="E23" s="30"/>
      <c r="F23" s="30"/>
      <c r="G23" s="31"/>
    </row>
    <row r="24" spans="1:7" x14ac:dyDescent="0.3">
      <c r="A24" s="28"/>
      <c r="B24" s="28"/>
      <c r="C24" s="28"/>
      <c r="D24" s="22"/>
      <c r="E24" s="28"/>
      <c r="F24" s="28"/>
      <c r="G24" s="29"/>
    </row>
    <row r="25" spans="1:7" x14ac:dyDescent="0.3">
      <c r="A25" s="30"/>
      <c r="B25" s="30"/>
      <c r="C25" s="30"/>
      <c r="D25" s="25"/>
      <c r="E25" s="30"/>
      <c r="F25" s="30"/>
      <c r="G25" s="31"/>
    </row>
    <row r="26" spans="1:7" x14ac:dyDescent="0.3">
      <c r="A26" s="28"/>
      <c r="B26" s="28"/>
      <c r="C26" s="28"/>
      <c r="D26" s="22"/>
      <c r="E26" s="28"/>
      <c r="F26" s="28"/>
      <c r="G26" s="29"/>
    </row>
    <row r="27" spans="1:7" x14ac:dyDescent="0.3">
      <c r="A27" s="30"/>
      <c r="B27" s="30"/>
      <c r="C27" s="30"/>
      <c r="D27" s="25"/>
      <c r="E27" s="30"/>
      <c r="F27" s="30"/>
      <c r="G27" s="31"/>
    </row>
    <row r="28" spans="1:7" x14ac:dyDescent="0.3">
      <c r="A28" s="28"/>
      <c r="B28" s="28"/>
      <c r="C28" s="28"/>
      <c r="D28" s="22"/>
      <c r="E28" s="28"/>
      <c r="F28" s="28"/>
      <c r="G28" s="29"/>
    </row>
    <row r="29" spans="1:7" x14ac:dyDescent="0.3">
      <c r="A29" s="30"/>
      <c r="B29" s="30"/>
      <c r="C29" s="30"/>
      <c r="D29" s="25"/>
      <c r="E29" s="30"/>
      <c r="F29" s="30"/>
      <c r="G29" s="31"/>
    </row>
    <row r="30" spans="1:7" x14ac:dyDescent="0.3">
      <c r="A30" s="17"/>
      <c r="B30" s="17"/>
      <c r="C30" s="17"/>
      <c r="D30" s="17"/>
      <c r="E30" s="17"/>
      <c r="F30" s="17"/>
      <c r="G30" s="17"/>
    </row>
    <row r="31" spans="1:7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2720.88</v>
      </c>
    </row>
    <row r="32" spans="1:7" x14ac:dyDescent="0.3">
      <c r="A32" s="17"/>
      <c r="B32" s="17"/>
      <c r="C32" s="17"/>
      <c r="D32" s="17"/>
      <c r="E32" s="17"/>
      <c r="F32" s="32" t="s">
        <v>228</v>
      </c>
      <c r="G32" s="33">
        <f>G31*0.16</f>
        <v>435.3408</v>
      </c>
    </row>
    <row r="33" spans="1:7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3156.2208000000001</v>
      </c>
    </row>
  </sheetData>
  <mergeCells count="3">
    <mergeCell ref="A8:C8"/>
    <mergeCell ref="E8:G8"/>
    <mergeCell ref="A1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3"/>
  <sheetViews>
    <sheetView workbookViewId="0"/>
  </sheetViews>
  <sheetFormatPr baseColWidth="10" defaultColWidth="8.88671875" defaultRowHeight="14.4" x14ac:dyDescent="0.3"/>
  <cols>
    <col min="1" max="1" width="58" customWidth="1"/>
    <col min="2" max="2" width="29" customWidth="1"/>
    <col min="3" max="3" width="15" customWidth="1"/>
    <col min="4" max="4" width="13" customWidth="1"/>
    <col min="5" max="5" width="14" customWidth="1"/>
    <col min="6" max="6" width="34" customWidth="1"/>
    <col min="7" max="7" width="17" customWidth="1"/>
  </cols>
  <sheetData>
    <row r="1" spans="1:7" x14ac:dyDescent="0.3">
      <c r="A1" s="40" t="s">
        <v>200</v>
      </c>
      <c r="B1" s="36"/>
      <c r="C1" s="36"/>
      <c r="D1" s="36"/>
      <c r="E1" s="36"/>
      <c r="F1" s="36"/>
      <c r="G1" s="36"/>
    </row>
    <row r="2" spans="1:7" x14ac:dyDescent="0.3">
      <c r="A2" s="36"/>
      <c r="B2" s="36"/>
      <c r="C2" s="36"/>
      <c r="D2" s="36"/>
      <c r="E2" s="36"/>
      <c r="F2" s="36"/>
      <c r="G2" s="36"/>
    </row>
    <row r="3" spans="1:7" x14ac:dyDescent="0.3">
      <c r="A3" s="17"/>
      <c r="B3" s="17"/>
      <c r="C3" s="17"/>
      <c r="D3" s="17"/>
      <c r="E3" s="17"/>
      <c r="F3" s="17"/>
      <c r="G3" s="17"/>
    </row>
    <row r="4" spans="1:7" x14ac:dyDescent="0.3">
      <c r="A4" s="18" t="s">
        <v>201</v>
      </c>
      <c r="B4" s="17"/>
      <c r="C4" s="17"/>
      <c r="D4" s="17"/>
      <c r="E4" s="17"/>
      <c r="F4" s="19" t="s">
        <v>202</v>
      </c>
      <c r="G4" s="18" t="s">
        <v>40</v>
      </c>
    </row>
    <row r="5" spans="1:7" x14ac:dyDescent="0.3">
      <c r="A5" s="17" t="s">
        <v>203</v>
      </c>
      <c r="B5" s="17" t="s">
        <v>204</v>
      </c>
      <c r="C5" s="17"/>
      <c r="D5" s="17"/>
      <c r="E5" s="17"/>
      <c r="F5" s="19" t="s">
        <v>205</v>
      </c>
      <c r="G5" s="20" t="s">
        <v>206</v>
      </c>
    </row>
    <row r="6" spans="1:7" x14ac:dyDescent="0.3">
      <c r="A6" s="17" t="s">
        <v>207</v>
      </c>
      <c r="B6" s="17"/>
      <c r="C6" s="17"/>
      <c r="D6" s="17"/>
      <c r="E6" s="17"/>
      <c r="F6" s="19" t="s">
        <v>208</v>
      </c>
      <c r="G6" s="17" t="s">
        <v>209</v>
      </c>
    </row>
    <row r="7" spans="1:7" x14ac:dyDescent="0.3">
      <c r="A7" s="17"/>
      <c r="B7" s="17"/>
      <c r="C7" s="17"/>
      <c r="D7" s="17"/>
      <c r="E7" s="17"/>
      <c r="F7" s="17"/>
      <c r="G7" s="17"/>
    </row>
    <row r="8" spans="1:7" x14ac:dyDescent="0.3">
      <c r="A8" s="39" t="s">
        <v>210</v>
      </c>
      <c r="B8" s="36"/>
      <c r="C8" s="36"/>
      <c r="D8" s="17"/>
      <c r="E8" s="39" t="s">
        <v>211</v>
      </c>
      <c r="F8" s="36"/>
      <c r="G8" s="36"/>
    </row>
    <row r="9" spans="1:7" x14ac:dyDescent="0.3">
      <c r="A9" s="19" t="s">
        <v>212</v>
      </c>
      <c r="B9" s="18" t="s">
        <v>39</v>
      </c>
      <c r="C9" s="17"/>
      <c r="D9" s="17"/>
      <c r="E9" s="19" t="s">
        <v>212</v>
      </c>
      <c r="F9" s="18" t="s">
        <v>201</v>
      </c>
      <c r="G9" s="17"/>
    </row>
    <row r="10" spans="1:7" x14ac:dyDescent="0.3">
      <c r="A10" s="19" t="s">
        <v>213</v>
      </c>
      <c r="B10" s="17" t="s">
        <v>214</v>
      </c>
      <c r="C10" s="17"/>
      <c r="D10" s="17"/>
      <c r="E10" s="19" t="s">
        <v>213</v>
      </c>
      <c r="F10" s="17" t="s">
        <v>215</v>
      </c>
      <c r="G10" s="17"/>
    </row>
    <row r="11" spans="1:7" x14ac:dyDescent="0.3">
      <c r="A11" s="19" t="s">
        <v>216</v>
      </c>
      <c r="B11" s="17" t="s">
        <v>217</v>
      </c>
      <c r="C11" s="17"/>
      <c r="D11" s="17"/>
      <c r="E11" s="19" t="s">
        <v>216</v>
      </c>
      <c r="F11" s="17" t="s">
        <v>218</v>
      </c>
      <c r="G11" s="17"/>
    </row>
    <row r="12" spans="1:7" x14ac:dyDescent="0.3">
      <c r="A12" s="19" t="s">
        <v>219</v>
      </c>
      <c r="B12" s="17" t="s">
        <v>190</v>
      </c>
      <c r="C12" s="17"/>
      <c r="D12" s="17"/>
      <c r="E12" s="19" t="s">
        <v>220</v>
      </c>
      <c r="F12" s="17" t="s">
        <v>221</v>
      </c>
      <c r="G12" s="17"/>
    </row>
    <row r="13" spans="1:7" x14ac:dyDescent="0.3">
      <c r="A13" s="17"/>
      <c r="B13" s="17"/>
      <c r="C13" s="17"/>
      <c r="D13" s="17"/>
      <c r="E13" s="17"/>
      <c r="F13" s="17"/>
      <c r="G13" s="17"/>
    </row>
    <row r="14" spans="1:7" x14ac:dyDescent="0.3">
      <c r="A14" s="17"/>
      <c r="B14" s="17"/>
      <c r="C14" s="17"/>
      <c r="D14" s="17"/>
      <c r="E14" s="17"/>
      <c r="F14" s="17"/>
      <c r="G14" s="17"/>
    </row>
    <row r="15" spans="1:7" x14ac:dyDescent="0.3">
      <c r="A15" s="21" t="s">
        <v>222</v>
      </c>
      <c r="B15" s="21" t="s">
        <v>223</v>
      </c>
      <c r="C15" s="21" t="s">
        <v>224</v>
      </c>
      <c r="D15" s="21" t="s">
        <v>47</v>
      </c>
      <c r="E15" s="21" t="s">
        <v>48</v>
      </c>
      <c r="F15" s="21" t="s">
        <v>225</v>
      </c>
      <c r="G15" s="21" t="s">
        <v>226</v>
      </c>
    </row>
    <row r="16" spans="1:7" x14ac:dyDescent="0.3">
      <c r="A16" s="22">
        <v>1</v>
      </c>
      <c r="B16" s="23" t="s">
        <v>189</v>
      </c>
      <c r="C16" s="23" t="s">
        <v>188</v>
      </c>
      <c r="D16" s="22">
        <v>40</v>
      </c>
      <c r="E16" s="22" t="s">
        <v>79</v>
      </c>
      <c r="F16" s="24">
        <v>5</v>
      </c>
      <c r="G16" s="24">
        <f>D16*F16</f>
        <v>200</v>
      </c>
    </row>
    <row r="17" spans="1:7" x14ac:dyDescent="0.3">
      <c r="A17" s="30"/>
      <c r="B17" s="30"/>
      <c r="C17" s="30"/>
      <c r="D17" s="25"/>
      <c r="E17" s="30"/>
      <c r="F17" s="30"/>
      <c r="G17" s="31"/>
    </row>
    <row r="18" spans="1:7" x14ac:dyDescent="0.3">
      <c r="A18" s="28"/>
      <c r="B18" s="28"/>
      <c r="C18" s="28"/>
      <c r="D18" s="22"/>
      <c r="E18" s="28"/>
      <c r="F18" s="28"/>
      <c r="G18" s="29"/>
    </row>
    <row r="19" spans="1:7" x14ac:dyDescent="0.3">
      <c r="A19" s="30"/>
      <c r="B19" s="30"/>
      <c r="C19" s="30"/>
      <c r="D19" s="25"/>
      <c r="E19" s="30"/>
      <c r="F19" s="30"/>
      <c r="G19" s="31"/>
    </row>
    <row r="20" spans="1:7" x14ac:dyDescent="0.3">
      <c r="A20" s="28"/>
      <c r="B20" s="28"/>
      <c r="C20" s="28"/>
      <c r="D20" s="22"/>
      <c r="E20" s="28"/>
      <c r="F20" s="28"/>
      <c r="G20" s="29"/>
    </row>
    <row r="21" spans="1:7" x14ac:dyDescent="0.3">
      <c r="A21" s="30"/>
      <c r="B21" s="30"/>
      <c r="C21" s="30"/>
      <c r="D21" s="25"/>
      <c r="E21" s="30"/>
      <c r="F21" s="30"/>
      <c r="G21" s="31"/>
    </row>
    <row r="22" spans="1:7" x14ac:dyDescent="0.3">
      <c r="A22" s="28"/>
      <c r="B22" s="28"/>
      <c r="C22" s="28"/>
      <c r="D22" s="22"/>
      <c r="E22" s="28"/>
      <c r="F22" s="28"/>
      <c r="G22" s="29"/>
    </row>
    <row r="23" spans="1:7" x14ac:dyDescent="0.3">
      <c r="A23" s="30"/>
      <c r="B23" s="30"/>
      <c r="C23" s="30"/>
      <c r="D23" s="25"/>
      <c r="E23" s="30"/>
      <c r="F23" s="30"/>
      <c r="G23" s="31"/>
    </row>
    <row r="24" spans="1:7" x14ac:dyDescent="0.3">
      <c r="A24" s="28"/>
      <c r="B24" s="28"/>
      <c r="C24" s="28"/>
      <c r="D24" s="22"/>
      <c r="E24" s="28"/>
      <c r="F24" s="28"/>
      <c r="G24" s="29"/>
    </row>
    <row r="25" spans="1:7" x14ac:dyDescent="0.3">
      <c r="A25" s="30"/>
      <c r="B25" s="30"/>
      <c r="C25" s="30"/>
      <c r="D25" s="25"/>
      <c r="E25" s="30"/>
      <c r="F25" s="30"/>
      <c r="G25" s="31"/>
    </row>
    <row r="26" spans="1:7" x14ac:dyDescent="0.3">
      <c r="A26" s="28"/>
      <c r="B26" s="28"/>
      <c r="C26" s="28"/>
      <c r="D26" s="22"/>
      <c r="E26" s="28"/>
      <c r="F26" s="28"/>
      <c r="G26" s="29"/>
    </row>
    <row r="27" spans="1:7" x14ac:dyDescent="0.3">
      <c r="A27" s="30"/>
      <c r="B27" s="30"/>
      <c r="C27" s="30"/>
      <c r="D27" s="25"/>
      <c r="E27" s="30"/>
      <c r="F27" s="30"/>
      <c r="G27" s="31"/>
    </row>
    <row r="28" spans="1:7" x14ac:dyDescent="0.3">
      <c r="A28" s="28"/>
      <c r="B28" s="28"/>
      <c r="C28" s="28"/>
      <c r="D28" s="22"/>
      <c r="E28" s="28"/>
      <c r="F28" s="28"/>
      <c r="G28" s="29"/>
    </row>
    <row r="29" spans="1:7" x14ac:dyDescent="0.3">
      <c r="A29" s="30"/>
      <c r="B29" s="30"/>
      <c r="C29" s="30"/>
      <c r="D29" s="25"/>
      <c r="E29" s="30"/>
      <c r="F29" s="30"/>
      <c r="G29" s="31"/>
    </row>
    <row r="30" spans="1:7" x14ac:dyDescent="0.3">
      <c r="A30" s="17"/>
      <c r="B30" s="17"/>
      <c r="C30" s="17"/>
      <c r="D30" s="17"/>
      <c r="E30" s="17"/>
      <c r="F30" s="17"/>
      <c r="G30" s="17"/>
    </row>
    <row r="31" spans="1:7" x14ac:dyDescent="0.3">
      <c r="A31" s="17"/>
      <c r="B31" s="17"/>
      <c r="C31" s="17"/>
      <c r="D31" s="17"/>
      <c r="E31" s="17"/>
      <c r="F31" s="32" t="s">
        <v>227</v>
      </c>
      <c r="G31" s="33">
        <f>SUM(G16:G29)</f>
        <v>200</v>
      </c>
    </row>
    <row r="32" spans="1:7" x14ac:dyDescent="0.3">
      <c r="A32" s="17"/>
      <c r="B32" s="17"/>
      <c r="C32" s="17"/>
      <c r="D32" s="17"/>
      <c r="E32" s="17"/>
      <c r="F32" s="32" t="s">
        <v>228</v>
      </c>
      <c r="G32" s="33">
        <f>G31*0.16</f>
        <v>32</v>
      </c>
    </row>
    <row r="33" spans="1:7" x14ac:dyDescent="0.3">
      <c r="A33" s="19" t="s">
        <v>229</v>
      </c>
      <c r="B33" s="17" t="s">
        <v>230</v>
      </c>
      <c r="C33" s="17"/>
      <c r="D33" s="17"/>
      <c r="E33" s="17"/>
      <c r="F33" s="32" t="s">
        <v>231</v>
      </c>
      <c r="G33" s="34">
        <f>G31+G32</f>
        <v>232</v>
      </c>
    </row>
  </sheetData>
  <mergeCells count="3">
    <mergeCell ref="A8:C8"/>
    <mergeCell ref="E8:G8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Resumen_General</vt:lpstr>
      <vt:lpstr>Consolidado_Materiales</vt:lpstr>
      <vt:lpstr>MARSA ACEROS</vt:lpstr>
      <vt:lpstr>Amazon</vt:lpstr>
      <vt:lpstr>Aliexpress</vt:lpstr>
      <vt:lpstr>NXP</vt:lpstr>
      <vt:lpstr>JLCPCB</vt:lpstr>
      <vt:lpstr>Intel</vt:lpstr>
      <vt:lpstr>ZICZNT</vt:lpstr>
      <vt:lpstr>SanDoRobotics</vt:lpstr>
      <vt:lpstr>Mexbit</vt:lpstr>
      <vt:lpstr>Elf te Motor-Steadywin Official</vt:lpstr>
      <vt:lpstr>Steren</vt:lpstr>
      <vt:lpstr>Mar China</vt:lpstr>
      <vt:lpstr>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Delgado Ramos</cp:lastModifiedBy>
  <dcterms:created xsi:type="dcterms:W3CDTF">2026-08-20T17:42:36Z</dcterms:created>
  <dcterms:modified xsi:type="dcterms:W3CDTF">2026-09-03T19:40:23Z</dcterms:modified>
</cp:coreProperties>
</file>